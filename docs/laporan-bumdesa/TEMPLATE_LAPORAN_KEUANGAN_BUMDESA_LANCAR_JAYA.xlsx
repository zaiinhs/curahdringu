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GATURAN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BULANAN" sheetId="3" state="visible" r:id="rId3"/>
    <sheet xmlns:r="http://schemas.openxmlformats.org/officeDocument/2006/relationships" name="LABA RUGI" sheetId="4" state="visible" r:id="rId4"/>
    <sheet xmlns:r="http://schemas.openxmlformats.org/officeDocument/2006/relationships" name="ARUS KAS" sheetId="5" state="visible" r:id="rId5"/>
    <sheet xmlns:r="http://schemas.openxmlformats.org/officeDocument/2006/relationships" name="NERACA SALDO" sheetId="6" state="visible" r:id="rId6"/>
    <sheet xmlns:r="http://schemas.openxmlformats.org/officeDocument/2006/relationships" name="POSISI KEUANGAN" sheetId="7" state="visible" r:id="rId7"/>
    <sheet xmlns:r="http://schemas.openxmlformats.org/officeDocument/2006/relationships" name="AKUN" sheetId="8" state="visible" r:id="rId8"/>
    <sheet xmlns:r="http://schemas.openxmlformats.org/officeDocument/2006/relationships" name="PETUNJUK" sheetId="9" state="visible" r:id="rId9"/>
  </sheets>
  <definedNames>
    <definedName name="BulanSel">PENGATURAN!$C$16</definedName>
    <definedName name="TahunSel">PENGATURAN!$C$17</definedName>
    <definedName name="UnitUsaha">PENGATURAN!$B$22:$B$28</definedName>
    <definedName name="KodeAkun">AKUN!$A$2:$A$200</definedName>
    <definedName name="_xlnm._FilterDatabase" localSheetId="1" hidden="1">'TRANSAKSI'!$A$9:$K$1000</definedName>
    <definedName name="_xlnm._FilterDatabase" localSheetId="7" hidden="1">'AKUN'!$A$1:$D$73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mmmm yyyy"/>
    <numFmt numFmtId="165" formatCode="dd/mm/yyyy"/>
    <numFmt numFmtId="166" formatCode="#,##0;[Red]-#,##0;&quot;-&quot;"/>
  </numFmts>
  <fonts count="9">
    <font>
      <name val="Calibri"/>
      <family val="2"/>
      <color theme="1"/>
      <sz val="11"/>
      <scheme val="minor"/>
    </font>
    <font>
      <b val="1"/>
      <color rgb="000A443D"/>
      <sz val="18"/>
    </font>
    <font>
      <i val="1"/>
      <color rgb="0053656B"/>
    </font>
    <font>
      <b val="1"/>
    </font>
    <font>
      <b val="1"/>
      <color rgb="00C14B09"/>
    </font>
    <font>
      <b val="1"/>
      <color rgb="000A443D"/>
      <sz val="16"/>
    </font>
    <font>
      <b val="1"/>
      <color rgb="00FFFFFF"/>
    </font>
    <font>
      <color rgb="0053656B"/>
      <sz val="9"/>
    </font>
    <font>
      <b val="1"/>
      <color rgb="000A443D"/>
    </font>
  </fonts>
  <fills count="6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06695C"/>
      </patternFill>
    </fill>
    <fill>
      <patternFill patternType="solid">
        <fgColor rgb="00F5F7F8"/>
      </patternFill>
    </fill>
    <fill>
      <patternFill patternType="solid">
        <fgColor rgb="00E6FBF7"/>
      </patternFill>
    </fill>
  </fills>
  <borders count="2">
    <border>
      <left/>
      <right/>
      <top/>
      <bottom/>
      <diagonal/>
    </border>
    <border>
      <left style="thin">
        <color rgb="00D2DADF"/>
      </left>
      <right style="thin">
        <color rgb="00D2DADF"/>
      </right>
      <top style="thin">
        <color rgb="00D2DADF"/>
      </top>
      <bottom style="thin">
        <color rgb="00D2DAD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49" fontId="0" fillId="4" borderId="1" pivotButton="0" quotePrefix="0" xfId="0"/>
    <xf numFmtId="166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8" fillId="5" borderId="1" pivotButton="0" quotePrefix="0" xfId="0"/>
    <xf numFmtId="0" fontId="0" fillId="5" borderId="1" pivotButton="0" quotePrefix="0" xfId="0"/>
    <xf numFmtId="166" fontId="3" fillId="2" borderId="1" applyAlignment="1" pivotButton="0" quotePrefix="0" xfId="0">
      <alignment horizontal="right" vertical="center"/>
    </xf>
    <xf numFmtId="0" fontId="3" fillId="5" borderId="1" pivotButton="0" quotePrefix="0" xfId="0"/>
    <xf numFmtId="166" fontId="3" fillId="5" borderId="1" applyAlignment="1" pivotButton="0" quotePrefix="0" xfId="0">
      <alignment horizontal="right" vertical="center"/>
    </xf>
    <xf numFmtId="0" fontId="3" fillId="0" borderId="0" pivotButton="0" quotePrefix="0" xfId="0"/>
    <xf numFmtId="49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D9F2E4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elTransaksi" displayName="TabelTransaksi" ref="A9:K1000" headerRowCount="1">
  <autoFilter ref="A9:K1000"/>
  <tableColumns count="11">
    <tableColumn id="1" name="No"/>
    <tableColumn id="2" name="Tanggal"/>
    <tableColumn id="3" name="Unit Usaha"/>
    <tableColumn id="4" name="Jenis"/>
    <tableColumn id="5" name="Kode Akun"/>
    <tableColumn id="6" name="Nama Akun"/>
    <tableColumn id="7" name="Uraian"/>
    <tableColumn id="8" name="Debet"/>
    <tableColumn id="9" name="Kredit"/>
    <tableColumn id="10" name="Bulan"/>
    <tableColumn id="11" name="Tahu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ftarAkun" displayName="DaftarAkun" ref="A1:D73" headerRowCount="1">
  <autoFilter ref="A1:D73"/>
  <tableColumns count="4">
    <tableColumn id="1" name="KODE AKUN"/>
    <tableColumn id="2" name="NAMA AKUN"/>
    <tableColumn id="3" name="KLASIFIKASI"/>
    <tableColumn id="4" name="SALDO 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A443D"/>
    <outlinePr summaryBelow="1" summaryRight="1"/>
    <pageSetUpPr fitToPage="1"/>
  </sheetPr>
  <dimension ref="B2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2" customWidth="1" min="2" max="2"/>
    <col width="30" customWidth="1" min="3" max="3"/>
    <col width="35" customWidth="1" min="4" max="4"/>
    <col width="25" customWidth="1" min="5" max="5"/>
    <col width="18" customWidth="1" min="6" max="6"/>
    <col width="18" customWidth="1" min="7" max="7"/>
  </cols>
  <sheetData>
    <row r="2">
      <c r="B2" s="1" t="inlineStr">
        <is>
          <t>BUMDESA LANCAR JAYA</t>
        </is>
      </c>
    </row>
    <row r="3">
      <c r="B3" s="2" t="inlineStr">
        <is>
          <t>Sistem laporan keuangan multi-bulan — Desa Curahdringu, Kecamatan Tongas, Kabupaten Probolinggo</t>
        </is>
      </c>
    </row>
    <row r="5">
      <c r="B5" s="3" t="inlineStr">
        <is>
          <t>Badan Usaha</t>
        </is>
      </c>
      <c r="C5" s="4" t="inlineStr">
        <is>
          <t>LANCAR JAYA</t>
        </is>
      </c>
    </row>
    <row r="6">
      <c r="B6" s="3" t="inlineStr">
        <is>
          <t>Desa</t>
        </is>
      </c>
      <c r="C6" s="4" t="inlineStr">
        <is>
          <t>CURAHDRINGU</t>
        </is>
      </c>
    </row>
    <row r="7">
      <c r="B7" s="3" t="inlineStr">
        <is>
          <t>Kecamatan</t>
        </is>
      </c>
      <c r="C7" s="4" t="inlineStr">
        <is>
          <t>TONGAS</t>
        </is>
      </c>
    </row>
    <row r="8">
      <c r="B8" s="3" t="inlineStr">
        <is>
          <t>Kabupaten</t>
        </is>
      </c>
      <c r="C8" s="4" t="inlineStr">
        <is>
          <t>PROBOLINGGO</t>
        </is>
      </c>
    </row>
    <row r="9">
      <c r="B9" s="3" t="inlineStr">
        <is>
          <t>Direktur</t>
        </is>
      </c>
      <c r="C9" s="4" t="inlineStr">
        <is>
          <t>DITA TIA MUKARROMAH</t>
        </is>
      </c>
    </row>
    <row r="10">
      <c r="B10" s="3" t="inlineStr">
        <is>
          <t>Bendahara</t>
        </is>
      </c>
      <c r="C10" s="4" t="inlineStr">
        <is>
          <t>ROBIATUL HUSNA</t>
        </is>
      </c>
    </row>
    <row r="11">
      <c r="B11" s="3" t="inlineStr">
        <is>
          <t>Penasihat</t>
        </is>
      </c>
      <c r="C11" s="4" t="inlineStr">
        <is>
          <t>................................</t>
        </is>
      </c>
    </row>
    <row r="12">
      <c r="B12" s="3" t="inlineStr">
        <is>
          <t>Pengawas</t>
        </is>
      </c>
      <c r="C12" s="4" t="inlineStr">
        <is>
          <t>................................</t>
        </is>
      </c>
    </row>
    <row r="15">
      <c r="B15" s="5" t="inlineStr">
        <is>
          <t>KONTROL PERIODE (ubah di sini)</t>
        </is>
      </c>
    </row>
    <row r="16">
      <c r="B16" s="6" t="inlineStr">
        <is>
          <t>Bulan aktif (1-12)</t>
        </is>
      </c>
      <c r="C16" s="7" t="n">
        <v>9</v>
      </c>
    </row>
    <row r="17">
      <c r="B17" s="6" t="inlineStr">
        <is>
          <t>Tahun aktif</t>
        </is>
      </c>
      <c r="C17" s="7" t="n">
        <v>2025</v>
      </c>
    </row>
    <row r="18">
      <c r="B18" s="3" t="inlineStr">
        <is>
          <t>Nama bulan</t>
        </is>
      </c>
      <c r="C18" s="4">
        <f>TEXT(DATE(TahunSel,BulanSel,1),"mmmm")</f>
        <v/>
      </c>
    </row>
    <row r="19">
      <c r="B19" s="3" t="inlineStr">
        <is>
          <t>Periode aktif</t>
        </is>
      </c>
      <c r="C19" s="8">
        <f>DATE(TahunSel,BulanSel,1)</f>
        <v/>
      </c>
    </row>
    <row r="21">
      <c r="B21" s="5" t="inlineStr">
        <is>
          <t>DAFTAR UNIT USAHA (boleh diedit)</t>
        </is>
      </c>
      <c r="D21" s="5" t="inlineStr">
        <is>
          <t>RINGKASAN BULAN AKTIF</t>
        </is>
      </c>
    </row>
    <row r="22">
      <c r="B22" s="4" t="inlineStr">
        <is>
          <t>Pusat</t>
        </is>
      </c>
      <c r="D22" s="4" t="inlineStr">
        <is>
          <t>Saldo kas akhir</t>
        </is>
      </c>
      <c r="E22" s="9">
        <f>'ARUS KAS'!$H$15</f>
        <v/>
      </c>
    </row>
    <row r="23">
      <c r="B23" s="4" t="inlineStr">
        <is>
          <t>Unit Pertanian</t>
        </is>
      </c>
      <c r="D23" s="4" t="inlineStr">
        <is>
          <t>Pendapatan bulan ini</t>
        </is>
      </c>
      <c r="E23" s="9">
        <f>'LABA RUGI'!$C$21</f>
        <v/>
      </c>
    </row>
    <row r="24">
      <c r="B24" s="4" t="inlineStr">
        <is>
          <t>Unit Peternakan</t>
        </is>
      </c>
      <c r="D24" s="4" t="inlineStr">
        <is>
          <t>Beban bulan ini</t>
        </is>
      </c>
      <c r="E24" s="9">
        <f>'LABA RUGI'!$C$48</f>
        <v/>
      </c>
    </row>
    <row r="25">
      <c r="B25" s="4" t="inlineStr">
        <is>
          <t>Unit Air Bersih</t>
        </is>
      </c>
      <c r="D25" s="4" t="inlineStr">
        <is>
          <t>Surplus/(Rugi) bulan ini</t>
        </is>
      </c>
      <c r="E25" s="9">
        <f>'LABA RUGI'!$C$50</f>
        <v/>
      </c>
    </row>
    <row r="26">
      <c r="B26" s="4" t="inlineStr">
        <is>
          <t>Unit Simpan Pinjam</t>
        </is>
      </c>
      <c r="D26" s="4" t="inlineStr">
        <is>
          <t>Surplus/(Rugi) s/d bulan ini</t>
        </is>
      </c>
      <c r="E26" s="9">
        <f>'LABA RUGI'!$D$50</f>
        <v/>
      </c>
    </row>
    <row r="27">
      <c r="B27" s="4" t="inlineStr">
        <is>
          <t>Unit Sewa Aset</t>
        </is>
      </c>
    </row>
    <row r="28">
      <c r="B28" s="4" t="inlineStr">
        <is>
          <t>Unit Pelayanan Jasa</t>
        </is>
      </c>
      <c r="D28" s="5" t="inlineStr">
        <is>
          <t>CEK KESEHATAN DATA</t>
        </is>
      </c>
    </row>
    <row r="29">
      <c r="D29" s="4" t="inlineStr">
        <is>
          <t>Jurnal Debet = Kredit?</t>
        </is>
      </c>
      <c r="E29" s="4">
        <f>IF(ABS(SUM(TRANSAKSI!$H$10:$H$1000)-SUM(TRANSAKSI!$I$10:$I$1000))&lt;1,"OK — seimbang","CEK — selisih")</f>
        <v/>
      </c>
    </row>
    <row r="30">
      <c r="D30" s="4" t="inlineStr">
        <is>
          <t>Neraca balance?</t>
        </is>
      </c>
      <c r="E30" s="4">
        <f>'POSISI KEUANGAN'!$C$35</f>
        <v/>
      </c>
    </row>
    <row r="32">
      <c r="D32" s="10" t="inlineStr">
        <is>
          <t>Semua laporan otomatis mengikuti Bulan/Tahun aktif dan transaksi yang diisi.</t>
        </is>
      </c>
    </row>
  </sheetData>
  <mergeCells count="3">
    <mergeCell ref="B3:G3"/>
    <mergeCell ref="D32:G32"/>
    <mergeCell ref="B2:E2"/>
  </mergeCells>
  <conditionalFormatting sqref="E29">
    <cfRule type="expression" priority="1" dxfId="0">
      <formula>LEFT(E29,2)="OK"</formula>
    </cfRule>
    <cfRule type="expression" priority="2" dxfId="1">
      <formula>LEFT(E29,2)&lt;&gt;"OK"</formula>
    </cfRule>
  </conditionalFormatting>
  <conditionalFormatting sqref="E30">
    <cfRule type="expression" priority="3" dxfId="0">
      <formula>LEFT(E30,2)="OK"</formula>
    </cfRule>
    <cfRule type="expression" priority="4" dxfId="1">
      <formula>LEFT(E30,2)&lt;&gt;"OK"</formula>
    </cfRule>
  </conditionalFormatting>
  <dataValidations count="2">
    <dataValidation sqref="C16" showDropDown="0" showInputMessage="0" showErrorMessage="0" allowBlank="0" type="list">
      <formula1>"1,2,3,4,5,6,7,8,9,10,11,12"</formula1>
    </dataValidation>
    <dataValidation sqref="C17" showDropDown="0" showInputMessage="0" showErrorMessage="0" allowBlank="0" type="list">
      <formula1>"2024,2025,2026,2027,2028,2029,2030,2031,2032,2033,2034,2035"</formula1>
    </dataValidation>
  </dataValidation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C14B09"/>
    <outlinePr summaryBelow="1" summaryRight="1"/>
    <pageSetUpPr fitToPage="1"/>
  </sheetPr>
  <dimension ref="A2:K100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8" customWidth="1" min="4" max="4"/>
    <col width="16" customWidth="1" min="5" max="5"/>
    <col width="44" customWidth="1" min="6" max="6"/>
    <col width="58" customWidth="1" min="7" max="7"/>
    <col width="17" customWidth="1" min="8" max="8"/>
    <col width="17" customWidth="1" min="9" max="9"/>
    <col width="10" customWidth="1" min="10" max="10"/>
    <col width="10" customWidth="1" min="11" max="11"/>
  </cols>
  <sheetData>
    <row r="2">
      <c r="A2" s="11" t="inlineStr">
        <is>
          <t>TRANSAKSI JURNAL TAHUNAN</t>
        </is>
      </c>
    </row>
    <row r="3">
      <c r="A3" s="2" t="inlineStr">
        <is>
          <t>Satu baris adalah satu akun. Untuk satu transaksi, isi minimal satu baris debet dan satu baris kredit dengan tanggal, unit, serta uraian yang sama.</t>
        </is>
      </c>
    </row>
    <row r="9">
      <c r="A9" s="12" t="inlineStr">
        <is>
          <t>No</t>
        </is>
      </c>
      <c r="B9" s="12" t="inlineStr">
        <is>
          <t>Tanggal</t>
        </is>
      </c>
      <c r="C9" s="12" t="inlineStr">
        <is>
          <t>Unit Usaha</t>
        </is>
      </c>
      <c r="D9" s="12" t="inlineStr">
        <is>
          <t>Jenis</t>
        </is>
      </c>
      <c r="E9" s="12" t="inlineStr">
        <is>
          <t>Kode Akun</t>
        </is>
      </c>
      <c r="F9" s="12" t="inlineStr">
        <is>
          <t>Nama Akun</t>
        </is>
      </c>
      <c r="G9" s="12" t="inlineStr">
        <is>
          <t>Uraian</t>
        </is>
      </c>
      <c r="H9" s="12" t="inlineStr">
        <is>
          <t>Debet</t>
        </is>
      </c>
      <c r="I9" s="12" t="inlineStr">
        <is>
          <t>Kredit</t>
        </is>
      </c>
      <c r="J9" s="12" t="inlineStr">
        <is>
          <t>Bulan</t>
        </is>
      </c>
      <c r="K9" s="12" t="inlineStr">
        <is>
          <t>Tahun</t>
        </is>
      </c>
    </row>
    <row r="10">
      <c r="A10" s="13">
        <f>IF($B10="","",ROW()-9)</f>
        <v/>
      </c>
      <c r="B10" s="14" t="n">
        <v>45901</v>
      </c>
      <c r="C10" s="15" t="inlineStr">
        <is>
          <t>Unit Pertanian</t>
        </is>
      </c>
      <c r="D10" s="15" t="inlineStr">
        <is>
          <t>Operasional</t>
        </is>
      </c>
      <c r="E10" s="16" t="inlineStr">
        <is>
          <t>1.1.01.01</t>
        </is>
      </c>
      <c r="F10" s="15">
        <f>IF($E10="","",IFERROR(VLOOKUP($E10,AKUN!$A$2:$B$200,2,FALSE),"Kode tidak ditemukan"))</f>
        <v/>
      </c>
      <c r="G10" s="15" t="inlineStr">
        <is>
          <t>[CONTOH] Saldo awal kas usaha pertanian</t>
        </is>
      </c>
      <c r="H10" s="17" t="n">
        <v>97950000</v>
      </c>
      <c r="I10" s="17" t="n"/>
      <c r="J10" s="13">
        <f>IF($B10="","",MONTH($B10))</f>
        <v/>
      </c>
      <c r="K10" s="13">
        <f>IF($B10="","",YEAR($B10))</f>
        <v/>
      </c>
    </row>
    <row r="11">
      <c r="A11" s="18">
        <f>IF($B11="","",ROW()-9)</f>
        <v/>
      </c>
      <c r="B11" s="19" t="n">
        <v>45901</v>
      </c>
      <c r="C11" s="4" t="inlineStr">
        <is>
          <t>Unit Pertanian</t>
        </is>
      </c>
      <c r="D11" s="4" t="inlineStr">
        <is>
          <t>Operasional</t>
        </is>
      </c>
      <c r="E11" s="20" t="inlineStr">
        <is>
          <t>3.3.01.04</t>
        </is>
      </c>
      <c r="F11" s="4">
        <f>IF($E11="","",IFERROR(VLOOKUP($E11,AKUN!$A$2:$B$200,2,FALSE),"Kode tidak ditemukan"))</f>
        <v/>
      </c>
      <c r="G11" s="4" t="inlineStr">
        <is>
          <t>[CONTOH] Saldo awal kas usaha pertanian</t>
        </is>
      </c>
      <c r="H11" s="9" t="n"/>
      <c r="I11" s="9" t="n">
        <v>97950000</v>
      </c>
      <c r="J11" s="18">
        <f>IF($B11="","",MONTH($B11))</f>
        <v/>
      </c>
      <c r="K11" s="18">
        <f>IF($B11="","",YEAR($B11))</f>
        <v/>
      </c>
    </row>
    <row r="12">
      <c r="A12" s="13">
        <f>IF($B12="","",ROW()-9)</f>
        <v/>
      </c>
      <c r="B12" s="14" t="n">
        <v>45905</v>
      </c>
      <c r="C12" s="15" t="inlineStr">
        <is>
          <t>Unit Pertanian</t>
        </is>
      </c>
      <c r="D12" s="15" t="inlineStr">
        <is>
          <t>Operasional</t>
        </is>
      </c>
      <c r="E12" s="16" t="inlineStr">
        <is>
          <t>1.1.01.01</t>
        </is>
      </c>
      <c r="F12" s="15">
        <f>IF($E12="","",IFERROR(VLOOKUP($E12,AKUN!$A$2:$B$200,2,FALSE),"Kode tidak ditemukan"))</f>
        <v/>
      </c>
      <c r="G12" s="15" t="inlineStr">
        <is>
          <t>[CONTOH] Penjualan padi</t>
        </is>
      </c>
      <c r="H12" s="17" t="n">
        <v>4000000</v>
      </c>
      <c r="I12" s="17" t="n"/>
      <c r="J12" s="13">
        <f>IF($B12="","",MONTH($B12))</f>
        <v/>
      </c>
      <c r="K12" s="13">
        <f>IF($B12="","",YEAR($B12))</f>
        <v/>
      </c>
    </row>
    <row r="13">
      <c r="A13" s="18">
        <f>IF($B13="","",ROW()-9)</f>
        <v/>
      </c>
      <c r="B13" s="19" t="n">
        <v>45905</v>
      </c>
      <c r="C13" s="4" t="inlineStr">
        <is>
          <t>Unit Pertanian</t>
        </is>
      </c>
      <c r="D13" s="4" t="inlineStr">
        <is>
          <t>Operasional</t>
        </is>
      </c>
      <c r="E13" s="20" t="inlineStr">
        <is>
          <t>4.1.12.02</t>
        </is>
      </c>
      <c r="F13" s="4">
        <f>IF($E13="","",IFERROR(VLOOKUP($E13,AKUN!$A$2:$B$200,2,FALSE),"Kode tidak ditemukan"))</f>
        <v/>
      </c>
      <c r="G13" s="4" t="inlineStr">
        <is>
          <t>[CONTOH] Penjualan padi</t>
        </is>
      </c>
      <c r="H13" s="9" t="n"/>
      <c r="I13" s="9" t="n">
        <v>4000000</v>
      </c>
      <c r="J13" s="18">
        <f>IF($B13="","",MONTH($B13))</f>
        <v/>
      </c>
      <c r="K13" s="18">
        <f>IF($B13="","",YEAR($B13))</f>
        <v/>
      </c>
    </row>
    <row r="14">
      <c r="A14" s="13">
        <f>IF($B14="","",ROW()-9)</f>
        <v/>
      </c>
      <c r="B14" s="14" t="n">
        <v>45910</v>
      </c>
      <c r="C14" s="15" t="inlineStr">
        <is>
          <t>Unit Pertanian</t>
        </is>
      </c>
      <c r="D14" s="15" t="inlineStr">
        <is>
          <t>Operasional</t>
        </is>
      </c>
      <c r="E14" s="16" t="inlineStr">
        <is>
          <t>1.1.01.01</t>
        </is>
      </c>
      <c r="F14" s="15">
        <f>IF($E14="","",IFERROR(VLOOKUP($E14,AKUN!$A$2:$B$200,2,FALSE),"Kode tidak ditemukan"))</f>
        <v/>
      </c>
      <c r="G14" s="15" t="inlineStr">
        <is>
          <t>[CONTOH] Penjualan jagung</t>
        </is>
      </c>
      <c r="H14" s="17" t="n">
        <v>3000000</v>
      </c>
      <c r="I14" s="17" t="n"/>
      <c r="J14" s="13">
        <f>IF($B14="","",MONTH($B14))</f>
        <v/>
      </c>
      <c r="K14" s="13">
        <f>IF($B14="","",YEAR($B14))</f>
        <v/>
      </c>
    </row>
    <row r="15">
      <c r="A15" s="18">
        <f>IF($B15="","",ROW()-9)</f>
        <v/>
      </c>
      <c r="B15" s="19" t="n">
        <v>45910</v>
      </c>
      <c r="C15" s="4" t="inlineStr">
        <is>
          <t>Unit Pertanian</t>
        </is>
      </c>
      <c r="D15" s="4" t="inlineStr">
        <is>
          <t>Operasional</t>
        </is>
      </c>
      <c r="E15" s="20" t="inlineStr">
        <is>
          <t>4.1.12.01</t>
        </is>
      </c>
      <c r="F15" s="4">
        <f>IF($E15="","",IFERROR(VLOOKUP($E15,AKUN!$A$2:$B$200,2,FALSE),"Kode tidak ditemukan"))</f>
        <v/>
      </c>
      <c r="G15" s="4" t="inlineStr">
        <is>
          <t>[CONTOH] Penjualan jagung</t>
        </is>
      </c>
      <c r="H15" s="9" t="n"/>
      <c r="I15" s="9" t="n">
        <v>3000000</v>
      </c>
      <c r="J15" s="18">
        <f>IF($B15="","",MONTH($B15))</f>
        <v/>
      </c>
      <c r="K15" s="18">
        <f>IF($B15="","",YEAR($B15))</f>
        <v/>
      </c>
    </row>
    <row r="16">
      <c r="A16" s="13">
        <f>IF($B16="","",ROW()-9)</f>
        <v/>
      </c>
      <c r="B16" s="14" t="n">
        <v>45919</v>
      </c>
      <c r="C16" s="15" t="inlineStr">
        <is>
          <t>Unit Pertanian</t>
        </is>
      </c>
      <c r="D16" s="15" t="inlineStr">
        <is>
          <t>Operasional</t>
        </is>
      </c>
      <c r="E16" s="16" t="inlineStr">
        <is>
          <t>6.2.99.99</t>
        </is>
      </c>
      <c r="F16" s="15">
        <f>IF($E16="","",IFERROR(VLOOKUP($E16,AKUN!$A$2:$B$200,2,FALSE),"Kode tidak ditemukan"))</f>
        <v/>
      </c>
      <c r="G16" s="15" t="inlineStr">
        <is>
          <t>[CONTOH] Upah pemupukan 2 orang</t>
        </is>
      </c>
      <c r="H16" s="17" t="n">
        <v>200000</v>
      </c>
      <c r="I16" s="17" t="n"/>
      <c r="J16" s="13">
        <f>IF($B16="","",MONTH($B16))</f>
        <v/>
      </c>
      <c r="K16" s="13">
        <f>IF($B16="","",YEAR($B16))</f>
        <v/>
      </c>
    </row>
    <row r="17">
      <c r="A17" s="18">
        <f>IF($B17="","",ROW()-9)</f>
        <v/>
      </c>
      <c r="B17" s="19" t="n">
        <v>45919</v>
      </c>
      <c r="C17" s="4" t="inlineStr">
        <is>
          <t>Unit Pertanian</t>
        </is>
      </c>
      <c r="D17" s="4" t="inlineStr">
        <is>
          <t>Operasional</t>
        </is>
      </c>
      <c r="E17" s="20" t="inlineStr">
        <is>
          <t>1.1.01.01</t>
        </is>
      </c>
      <c r="F17" s="4">
        <f>IF($E17="","",IFERROR(VLOOKUP($E17,AKUN!$A$2:$B$200,2,FALSE),"Kode tidak ditemukan"))</f>
        <v/>
      </c>
      <c r="G17" s="4" t="inlineStr">
        <is>
          <t>[CONTOH] Upah pemupukan 2 orang</t>
        </is>
      </c>
      <c r="H17" s="9" t="n"/>
      <c r="I17" s="9" t="n">
        <v>200000</v>
      </c>
      <c r="J17" s="18">
        <f>IF($B17="","",MONTH($B17))</f>
        <v/>
      </c>
      <c r="K17" s="18">
        <f>IF($B17="","",YEAR($B17))</f>
        <v/>
      </c>
    </row>
    <row r="18">
      <c r="A18" s="13">
        <f>IF($B18="","",ROW()-9)</f>
        <v/>
      </c>
      <c r="B18" s="14" t="n">
        <v>45919</v>
      </c>
      <c r="C18" s="15" t="inlineStr">
        <is>
          <t>Unit Pertanian</t>
        </is>
      </c>
      <c r="D18" s="15" t="inlineStr">
        <is>
          <t>Operasional</t>
        </is>
      </c>
      <c r="E18" s="16" t="inlineStr">
        <is>
          <t>6.2.99.05</t>
        </is>
      </c>
      <c r="F18" s="15">
        <f>IF($E18="","",IFERROR(VLOOKUP($E18,AKUN!$A$2:$B$200,2,FALSE),"Kode tidak ditemukan"))</f>
        <v/>
      </c>
      <c r="G18" s="15" t="inlineStr">
        <is>
          <t>[CONTOH] Pembelian pupuk phonska 1 sak</t>
        </is>
      </c>
      <c r="H18" s="17" t="n">
        <v>75000</v>
      </c>
      <c r="I18" s="17" t="n"/>
      <c r="J18" s="13">
        <f>IF($B18="","",MONTH($B18))</f>
        <v/>
      </c>
      <c r="K18" s="13">
        <f>IF($B18="","",YEAR($B18))</f>
        <v/>
      </c>
    </row>
    <row r="19">
      <c r="A19" s="18">
        <f>IF($B19="","",ROW()-9)</f>
        <v/>
      </c>
      <c r="B19" s="19" t="n">
        <v>45919</v>
      </c>
      <c r="C19" s="4" t="inlineStr">
        <is>
          <t>Unit Pertanian</t>
        </is>
      </c>
      <c r="D19" s="4" t="inlineStr">
        <is>
          <t>Operasional</t>
        </is>
      </c>
      <c r="E19" s="20" t="inlineStr">
        <is>
          <t>1.1.01.01</t>
        </is>
      </c>
      <c r="F19" s="4">
        <f>IF($E19="","",IFERROR(VLOOKUP($E19,AKUN!$A$2:$B$200,2,FALSE),"Kode tidak ditemukan"))</f>
        <v/>
      </c>
      <c r="G19" s="4" t="inlineStr">
        <is>
          <t>[CONTOH] Pembelian pupuk phonska 1 sak</t>
        </is>
      </c>
      <c r="H19" s="9" t="n"/>
      <c r="I19" s="9" t="n">
        <v>75000</v>
      </c>
      <c r="J19" s="18">
        <f>IF($B19="","",MONTH($B19))</f>
        <v/>
      </c>
      <c r="K19" s="18">
        <f>IF($B19="","",YEAR($B19))</f>
        <v/>
      </c>
    </row>
    <row r="20">
      <c r="A20" s="13">
        <f>IF($B20="","",ROW()-9)</f>
        <v/>
      </c>
      <c r="B20" s="14" t="n">
        <v>45922</v>
      </c>
      <c r="C20" s="15" t="inlineStr">
        <is>
          <t>Unit Pertanian</t>
        </is>
      </c>
      <c r="D20" s="15" t="inlineStr">
        <is>
          <t>Operasional</t>
        </is>
      </c>
      <c r="E20" s="16" t="inlineStr">
        <is>
          <t>6.1.04.01</t>
        </is>
      </c>
      <c r="F20" s="15">
        <f>IF($E20="","",IFERROR(VLOOKUP($E20,AKUN!$A$2:$B$200,2,FALSE),"Kode tidak ditemukan"))</f>
        <v/>
      </c>
      <c r="G20" s="15" t="inlineStr">
        <is>
          <t>[CONTOH] Pembayaran listrik</t>
        </is>
      </c>
      <c r="H20" s="17" t="n">
        <v>150000</v>
      </c>
      <c r="I20" s="17" t="n"/>
      <c r="J20" s="13">
        <f>IF($B20="","",MONTH($B20))</f>
        <v/>
      </c>
      <c r="K20" s="13">
        <f>IF($B20="","",YEAR($B20))</f>
        <v/>
      </c>
    </row>
    <row r="21">
      <c r="A21" s="18">
        <f>IF($B21="","",ROW()-9)</f>
        <v/>
      </c>
      <c r="B21" s="19" t="n">
        <v>45922</v>
      </c>
      <c r="C21" s="4" t="inlineStr">
        <is>
          <t>Unit Pertanian</t>
        </is>
      </c>
      <c r="D21" s="4" t="inlineStr">
        <is>
          <t>Operasional</t>
        </is>
      </c>
      <c r="E21" s="20" t="inlineStr">
        <is>
          <t>1.1.01.01</t>
        </is>
      </c>
      <c r="F21" s="4">
        <f>IF($E21="","",IFERROR(VLOOKUP($E21,AKUN!$A$2:$B$200,2,FALSE),"Kode tidak ditemukan"))</f>
        <v/>
      </c>
      <c r="G21" s="4" t="inlineStr">
        <is>
          <t>[CONTOH] Pembayaran listrik</t>
        </is>
      </c>
      <c r="H21" s="9" t="n"/>
      <c r="I21" s="9" t="n">
        <v>150000</v>
      </c>
      <c r="J21" s="18">
        <f>IF($B21="","",MONTH($B21))</f>
        <v/>
      </c>
      <c r="K21" s="18">
        <f>IF($B21="","",YEAR($B21))</f>
        <v/>
      </c>
    </row>
    <row r="22">
      <c r="A22" s="13">
        <f>IF($B22="","",ROW()-9)</f>
        <v/>
      </c>
      <c r="B22" s="14" t="n">
        <v>45930</v>
      </c>
      <c r="C22" s="15" t="inlineStr">
        <is>
          <t>Unit Pertanian</t>
        </is>
      </c>
      <c r="D22" s="15" t="inlineStr">
        <is>
          <t>Penyesuaian</t>
        </is>
      </c>
      <c r="E22" s="16" t="inlineStr">
        <is>
          <t>6.2.99.02</t>
        </is>
      </c>
      <c r="F22" s="15">
        <f>IF($E22="","",IFERROR(VLOOKUP($E22,AKUN!$A$2:$B$200,2,FALSE),"Kode tidak ditemukan"))</f>
        <v/>
      </c>
      <c r="G22" s="15" t="inlineStr">
        <is>
          <t>[CONTOH] Penyesuaian beban sewa bulan berjalan</t>
        </is>
      </c>
      <c r="H22" s="17" t="n">
        <v>500000</v>
      </c>
      <c r="I22" s="17" t="n"/>
      <c r="J22" s="13">
        <f>IF($B22="","",MONTH($B22))</f>
        <v/>
      </c>
      <c r="K22" s="13">
        <f>IF($B22="","",YEAR($B22))</f>
        <v/>
      </c>
    </row>
    <row r="23">
      <c r="A23" s="18">
        <f>IF($B23="","",ROW()-9)</f>
        <v/>
      </c>
      <c r="B23" s="19" t="n">
        <v>45930</v>
      </c>
      <c r="C23" s="4" t="inlineStr">
        <is>
          <t>Unit Pertanian</t>
        </is>
      </c>
      <c r="D23" s="4" t="inlineStr">
        <is>
          <t>Penyesuaian</t>
        </is>
      </c>
      <c r="E23" s="20" t="inlineStr">
        <is>
          <t>1.1.07.01</t>
        </is>
      </c>
      <c r="F23" s="4">
        <f>IF($E23="","",IFERROR(VLOOKUP($E23,AKUN!$A$2:$B$200,2,FALSE),"Kode tidak ditemukan"))</f>
        <v/>
      </c>
      <c r="G23" s="4" t="inlineStr">
        <is>
          <t>[CONTOH] Penyesuaian beban sewa bulan berjalan</t>
        </is>
      </c>
      <c r="H23" s="9" t="n"/>
      <c r="I23" s="9" t="n">
        <v>500000</v>
      </c>
      <c r="J23" s="18">
        <f>IF($B23="","",MONTH($B23))</f>
        <v/>
      </c>
      <c r="K23" s="18">
        <f>IF($B23="","",YEAR($B23))</f>
        <v/>
      </c>
    </row>
    <row r="24">
      <c r="A24" s="13">
        <f>IF($B24="","",ROW()-9)</f>
        <v/>
      </c>
      <c r="B24" s="14" t="n">
        <v>45930</v>
      </c>
      <c r="C24" s="15" t="inlineStr">
        <is>
          <t>Unit Pertanian</t>
        </is>
      </c>
      <c r="D24" s="15" t="inlineStr">
        <is>
          <t>Penyesuaian</t>
        </is>
      </c>
      <c r="E24" s="16" t="inlineStr">
        <is>
          <t>6.1.07.03</t>
        </is>
      </c>
      <c r="F24" s="15">
        <f>IF($E24="","",IFERROR(VLOOKUP($E24,AKUN!$A$2:$B$200,2,FALSE),"Kode tidak ditemukan"))</f>
        <v/>
      </c>
      <c r="G24" s="15" t="inlineStr">
        <is>
          <t>[CONTOH] Penyusutan peralatan dan mesin</t>
        </is>
      </c>
      <c r="H24" s="17" t="n">
        <v>300000</v>
      </c>
      <c r="I24" s="17" t="n"/>
      <c r="J24" s="13">
        <f>IF($B24="","",MONTH($B24))</f>
        <v/>
      </c>
      <c r="K24" s="13">
        <f>IF($B24="","",YEAR($B24))</f>
        <v/>
      </c>
    </row>
    <row r="25">
      <c r="A25" s="18">
        <f>IF($B25="","",ROW()-9)</f>
        <v/>
      </c>
      <c r="B25" s="19" t="n">
        <v>45930</v>
      </c>
      <c r="C25" s="4" t="inlineStr">
        <is>
          <t>Unit Pertanian</t>
        </is>
      </c>
      <c r="D25" s="4" t="inlineStr">
        <is>
          <t>Penyesuaian</t>
        </is>
      </c>
      <c r="E25" s="20" t="inlineStr">
        <is>
          <t>1.3.07.02</t>
        </is>
      </c>
      <c r="F25" s="4">
        <f>IF($E25="","",IFERROR(VLOOKUP($E25,AKUN!$A$2:$B$200,2,FALSE),"Kode tidak ditemukan"))</f>
        <v/>
      </c>
      <c r="G25" s="4" t="inlineStr">
        <is>
          <t>[CONTOH] Penyusutan peralatan dan mesin</t>
        </is>
      </c>
      <c r="H25" s="9" t="n"/>
      <c r="I25" s="9" t="n">
        <v>300000</v>
      </c>
      <c r="J25" s="18">
        <f>IF($B25="","",MONTH($B25))</f>
        <v/>
      </c>
      <c r="K25" s="18">
        <f>IF($B25="","",YEAR($B25))</f>
        <v/>
      </c>
    </row>
    <row r="26">
      <c r="A26" s="13">
        <f>IF($B26="","",ROW()-9)</f>
        <v/>
      </c>
      <c r="B26" s="14" t="n"/>
      <c r="C26" s="15" t="n"/>
      <c r="D26" s="15" t="n"/>
      <c r="E26" s="15" t="n"/>
      <c r="F26" s="15">
        <f>IF($E26="","",IFERROR(VLOOKUP($E26,AKUN!$A$2:$B$200,2,FALSE),"Kode tidak ditemukan"))</f>
        <v/>
      </c>
      <c r="G26" s="15" t="n"/>
      <c r="H26" s="17" t="n"/>
      <c r="I26" s="17" t="n"/>
      <c r="J26" s="13">
        <f>IF($B26="","",MONTH($B26))</f>
        <v/>
      </c>
      <c r="K26" s="13">
        <f>IF($B26="","",YEAR($B26))</f>
        <v/>
      </c>
    </row>
    <row r="27">
      <c r="A27" s="18">
        <f>IF($B27="","",ROW()-9)</f>
        <v/>
      </c>
      <c r="B27" s="19" t="n"/>
      <c r="C27" s="4" t="n"/>
      <c r="D27" s="4" t="n"/>
      <c r="E27" s="4" t="n"/>
      <c r="F27" s="4">
        <f>IF($E27="","",IFERROR(VLOOKUP($E27,AKUN!$A$2:$B$200,2,FALSE),"Kode tidak ditemukan"))</f>
        <v/>
      </c>
      <c r="G27" s="4" t="n"/>
      <c r="H27" s="9" t="n"/>
      <c r="I27" s="9" t="n"/>
      <c r="J27" s="18">
        <f>IF($B27="","",MONTH($B27))</f>
        <v/>
      </c>
      <c r="K27" s="18">
        <f>IF($B27="","",YEAR($B27))</f>
        <v/>
      </c>
    </row>
    <row r="28">
      <c r="A28" s="13">
        <f>IF($B28="","",ROW()-9)</f>
        <v/>
      </c>
      <c r="B28" s="14" t="n"/>
      <c r="C28" s="15" t="n"/>
      <c r="D28" s="15" t="n"/>
      <c r="E28" s="15" t="n"/>
      <c r="F28" s="15">
        <f>IF($E28="","",IFERROR(VLOOKUP($E28,AKUN!$A$2:$B$200,2,FALSE),"Kode tidak ditemukan"))</f>
        <v/>
      </c>
      <c r="G28" s="15" t="n"/>
      <c r="H28" s="17" t="n"/>
      <c r="I28" s="17" t="n"/>
      <c r="J28" s="13">
        <f>IF($B28="","",MONTH($B28))</f>
        <v/>
      </c>
      <c r="K28" s="13">
        <f>IF($B28="","",YEAR($B28))</f>
        <v/>
      </c>
    </row>
    <row r="29">
      <c r="A29" s="18">
        <f>IF($B29="","",ROW()-9)</f>
        <v/>
      </c>
      <c r="B29" s="19" t="n"/>
      <c r="C29" s="4" t="n"/>
      <c r="D29" s="4" t="n"/>
      <c r="E29" s="4" t="n"/>
      <c r="F29" s="4">
        <f>IF($E29="","",IFERROR(VLOOKUP($E29,AKUN!$A$2:$B$200,2,FALSE),"Kode tidak ditemukan"))</f>
        <v/>
      </c>
      <c r="G29" s="4" t="n"/>
      <c r="H29" s="9" t="n"/>
      <c r="I29" s="9" t="n"/>
      <c r="J29" s="18">
        <f>IF($B29="","",MONTH($B29))</f>
        <v/>
      </c>
      <c r="K29" s="18">
        <f>IF($B29="","",YEAR($B29))</f>
        <v/>
      </c>
    </row>
    <row r="30">
      <c r="A30" s="13">
        <f>IF($B30="","",ROW()-9)</f>
        <v/>
      </c>
      <c r="B30" s="14" t="n"/>
      <c r="C30" s="15" t="n"/>
      <c r="D30" s="15" t="n"/>
      <c r="E30" s="15" t="n"/>
      <c r="F30" s="15">
        <f>IF($E30="","",IFERROR(VLOOKUP($E30,AKUN!$A$2:$B$200,2,FALSE),"Kode tidak ditemukan"))</f>
        <v/>
      </c>
      <c r="G30" s="15" t="n"/>
      <c r="H30" s="17" t="n"/>
      <c r="I30" s="17" t="n"/>
      <c r="J30" s="13">
        <f>IF($B30="","",MONTH($B30))</f>
        <v/>
      </c>
      <c r="K30" s="13">
        <f>IF($B30="","",YEAR($B30))</f>
        <v/>
      </c>
    </row>
    <row r="31">
      <c r="A31" s="18">
        <f>IF($B31="","",ROW()-9)</f>
        <v/>
      </c>
      <c r="B31" s="19" t="n"/>
      <c r="C31" s="4" t="n"/>
      <c r="D31" s="4" t="n"/>
      <c r="E31" s="4" t="n"/>
      <c r="F31" s="4">
        <f>IF($E31="","",IFERROR(VLOOKUP($E31,AKUN!$A$2:$B$200,2,FALSE),"Kode tidak ditemukan"))</f>
        <v/>
      </c>
      <c r="G31" s="4" t="n"/>
      <c r="H31" s="9" t="n"/>
      <c r="I31" s="9" t="n"/>
      <c r="J31" s="18">
        <f>IF($B31="","",MONTH($B31))</f>
        <v/>
      </c>
      <c r="K31" s="18">
        <f>IF($B31="","",YEAR($B31))</f>
        <v/>
      </c>
    </row>
    <row r="32">
      <c r="A32" s="13">
        <f>IF($B32="","",ROW()-9)</f>
        <v/>
      </c>
      <c r="B32" s="14" t="n"/>
      <c r="C32" s="15" t="n"/>
      <c r="D32" s="15" t="n"/>
      <c r="E32" s="15" t="n"/>
      <c r="F32" s="15">
        <f>IF($E32="","",IFERROR(VLOOKUP($E32,AKUN!$A$2:$B$200,2,FALSE),"Kode tidak ditemukan"))</f>
        <v/>
      </c>
      <c r="G32" s="15" t="n"/>
      <c r="H32" s="17" t="n"/>
      <c r="I32" s="17" t="n"/>
      <c r="J32" s="13">
        <f>IF($B32="","",MONTH($B32))</f>
        <v/>
      </c>
      <c r="K32" s="13">
        <f>IF($B32="","",YEAR($B32))</f>
        <v/>
      </c>
    </row>
    <row r="33">
      <c r="A33" s="18">
        <f>IF($B33="","",ROW()-9)</f>
        <v/>
      </c>
      <c r="B33" s="19" t="n"/>
      <c r="C33" s="4" t="n"/>
      <c r="D33" s="4" t="n"/>
      <c r="E33" s="4" t="n"/>
      <c r="F33" s="4">
        <f>IF($E33="","",IFERROR(VLOOKUP($E33,AKUN!$A$2:$B$200,2,FALSE),"Kode tidak ditemukan"))</f>
        <v/>
      </c>
      <c r="G33" s="4" t="n"/>
      <c r="H33" s="9" t="n"/>
      <c r="I33" s="9" t="n"/>
      <c r="J33" s="18">
        <f>IF($B33="","",MONTH($B33))</f>
        <v/>
      </c>
      <c r="K33" s="18">
        <f>IF($B33="","",YEAR($B33))</f>
        <v/>
      </c>
    </row>
    <row r="34">
      <c r="A34" s="13">
        <f>IF($B34="","",ROW()-9)</f>
        <v/>
      </c>
      <c r="B34" s="14" t="n"/>
      <c r="C34" s="15" t="n"/>
      <c r="D34" s="15" t="n"/>
      <c r="E34" s="15" t="n"/>
      <c r="F34" s="15">
        <f>IF($E34="","",IFERROR(VLOOKUP($E34,AKUN!$A$2:$B$200,2,FALSE),"Kode tidak ditemukan"))</f>
        <v/>
      </c>
      <c r="G34" s="15" t="n"/>
      <c r="H34" s="17" t="n"/>
      <c r="I34" s="17" t="n"/>
      <c r="J34" s="13">
        <f>IF($B34="","",MONTH($B34))</f>
        <v/>
      </c>
      <c r="K34" s="13">
        <f>IF($B34="","",YEAR($B34))</f>
        <v/>
      </c>
    </row>
    <row r="35">
      <c r="A35" s="18">
        <f>IF($B35="","",ROW()-9)</f>
        <v/>
      </c>
      <c r="B35" s="19" t="n"/>
      <c r="C35" s="4" t="n"/>
      <c r="D35" s="4" t="n"/>
      <c r="E35" s="4" t="n"/>
      <c r="F35" s="4">
        <f>IF($E35="","",IFERROR(VLOOKUP($E35,AKUN!$A$2:$B$200,2,FALSE),"Kode tidak ditemukan"))</f>
        <v/>
      </c>
      <c r="G35" s="4" t="n"/>
      <c r="H35" s="9" t="n"/>
      <c r="I35" s="9" t="n"/>
      <c r="J35" s="18">
        <f>IF($B35="","",MONTH($B35))</f>
        <v/>
      </c>
      <c r="K35" s="18">
        <f>IF($B35="","",YEAR($B35))</f>
        <v/>
      </c>
    </row>
    <row r="36">
      <c r="A36" s="13">
        <f>IF($B36="","",ROW()-9)</f>
        <v/>
      </c>
      <c r="B36" s="14" t="n"/>
      <c r="C36" s="15" t="n"/>
      <c r="D36" s="15" t="n"/>
      <c r="E36" s="15" t="n"/>
      <c r="F36" s="15">
        <f>IF($E36="","",IFERROR(VLOOKUP($E36,AKUN!$A$2:$B$200,2,FALSE),"Kode tidak ditemukan"))</f>
        <v/>
      </c>
      <c r="G36" s="15" t="n"/>
      <c r="H36" s="17" t="n"/>
      <c r="I36" s="17" t="n"/>
      <c r="J36" s="13">
        <f>IF($B36="","",MONTH($B36))</f>
        <v/>
      </c>
      <c r="K36" s="13">
        <f>IF($B36="","",YEAR($B36))</f>
        <v/>
      </c>
    </row>
    <row r="37">
      <c r="A37" s="18">
        <f>IF($B37="","",ROW()-9)</f>
        <v/>
      </c>
      <c r="B37" s="19" t="n"/>
      <c r="C37" s="4" t="n"/>
      <c r="D37" s="4" t="n"/>
      <c r="E37" s="4" t="n"/>
      <c r="F37" s="4">
        <f>IF($E37="","",IFERROR(VLOOKUP($E37,AKUN!$A$2:$B$200,2,FALSE),"Kode tidak ditemukan"))</f>
        <v/>
      </c>
      <c r="G37" s="4" t="n"/>
      <c r="H37" s="9" t="n"/>
      <c r="I37" s="9" t="n"/>
      <c r="J37" s="18">
        <f>IF($B37="","",MONTH($B37))</f>
        <v/>
      </c>
      <c r="K37" s="18">
        <f>IF($B37="","",YEAR($B37))</f>
        <v/>
      </c>
    </row>
    <row r="38">
      <c r="A38" s="13">
        <f>IF($B38="","",ROW()-9)</f>
        <v/>
      </c>
      <c r="B38" s="14" t="n"/>
      <c r="C38" s="15" t="n"/>
      <c r="D38" s="15" t="n"/>
      <c r="E38" s="15" t="n"/>
      <c r="F38" s="15">
        <f>IF($E38="","",IFERROR(VLOOKUP($E38,AKUN!$A$2:$B$200,2,FALSE),"Kode tidak ditemukan"))</f>
        <v/>
      </c>
      <c r="G38" s="15" t="n"/>
      <c r="H38" s="17" t="n"/>
      <c r="I38" s="17" t="n"/>
      <c r="J38" s="13">
        <f>IF($B38="","",MONTH($B38))</f>
        <v/>
      </c>
      <c r="K38" s="13">
        <f>IF($B38="","",YEAR($B38))</f>
        <v/>
      </c>
    </row>
    <row r="39">
      <c r="A39" s="18">
        <f>IF($B39="","",ROW()-9)</f>
        <v/>
      </c>
      <c r="B39" s="19" t="n"/>
      <c r="C39" s="4" t="n"/>
      <c r="D39" s="4" t="n"/>
      <c r="E39" s="4" t="n"/>
      <c r="F39" s="4">
        <f>IF($E39="","",IFERROR(VLOOKUP($E39,AKUN!$A$2:$B$200,2,FALSE),"Kode tidak ditemukan"))</f>
        <v/>
      </c>
      <c r="G39" s="4" t="n"/>
      <c r="H39" s="9" t="n"/>
      <c r="I39" s="9" t="n"/>
      <c r="J39" s="18">
        <f>IF($B39="","",MONTH($B39))</f>
        <v/>
      </c>
      <c r="K39" s="18">
        <f>IF($B39="","",YEAR($B39))</f>
        <v/>
      </c>
    </row>
    <row r="40">
      <c r="A40" s="13">
        <f>IF($B40="","",ROW()-9)</f>
        <v/>
      </c>
      <c r="B40" s="14" t="n"/>
      <c r="C40" s="15" t="n"/>
      <c r="D40" s="15" t="n"/>
      <c r="E40" s="15" t="n"/>
      <c r="F40" s="15">
        <f>IF($E40="","",IFERROR(VLOOKUP($E40,AKUN!$A$2:$B$200,2,FALSE),"Kode tidak ditemukan"))</f>
        <v/>
      </c>
      <c r="G40" s="15" t="n"/>
      <c r="H40" s="17" t="n"/>
      <c r="I40" s="17" t="n"/>
      <c r="J40" s="13">
        <f>IF($B40="","",MONTH($B40))</f>
        <v/>
      </c>
      <c r="K40" s="13">
        <f>IF($B40="","",YEAR($B40))</f>
        <v/>
      </c>
    </row>
    <row r="41">
      <c r="A41" s="18">
        <f>IF($B41="","",ROW()-9)</f>
        <v/>
      </c>
      <c r="B41" s="19" t="n"/>
      <c r="C41" s="4" t="n"/>
      <c r="D41" s="4" t="n"/>
      <c r="E41" s="4" t="n"/>
      <c r="F41" s="4">
        <f>IF($E41="","",IFERROR(VLOOKUP($E41,AKUN!$A$2:$B$200,2,FALSE),"Kode tidak ditemukan"))</f>
        <v/>
      </c>
      <c r="G41" s="4" t="n"/>
      <c r="H41" s="9" t="n"/>
      <c r="I41" s="9" t="n"/>
      <c r="J41" s="18">
        <f>IF($B41="","",MONTH($B41))</f>
        <v/>
      </c>
      <c r="K41" s="18">
        <f>IF($B41="","",YEAR($B41))</f>
        <v/>
      </c>
    </row>
    <row r="42">
      <c r="A42" s="13">
        <f>IF($B42="","",ROW()-9)</f>
        <v/>
      </c>
      <c r="B42" s="14" t="n"/>
      <c r="C42" s="15" t="n"/>
      <c r="D42" s="15" t="n"/>
      <c r="E42" s="15" t="n"/>
      <c r="F42" s="15">
        <f>IF($E42="","",IFERROR(VLOOKUP($E42,AKUN!$A$2:$B$200,2,FALSE),"Kode tidak ditemukan"))</f>
        <v/>
      </c>
      <c r="G42" s="15" t="n"/>
      <c r="H42" s="17" t="n"/>
      <c r="I42" s="17" t="n"/>
      <c r="J42" s="13">
        <f>IF($B42="","",MONTH($B42))</f>
        <v/>
      </c>
      <c r="K42" s="13">
        <f>IF($B42="","",YEAR($B42))</f>
        <v/>
      </c>
    </row>
    <row r="43">
      <c r="A43" s="18">
        <f>IF($B43="","",ROW()-9)</f>
        <v/>
      </c>
      <c r="B43" s="19" t="n"/>
      <c r="C43" s="4" t="n"/>
      <c r="D43" s="4" t="n"/>
      <c r="E43" s="4" t="n"/>
      <c r="F43" s="4">
        <f>IF($E43="","",IFERROR(VLOOKUP($E43,AKUN!$A$2:$B$200,2,FALSE),"Kode tidak ditemukan"))</f>
        <v/>
      </c>
      <c r="G43" s="4" t="n"/>
      <c r="H43" s="9" t="n"/>
      <c r="I43" s="9" t="n"/>
      <c r="J43" s="18">
        <f>IF($B43="","",MONTH($B43))</f>
        <v/>
      </c>
      <c r="K43" s="18">
        <f>IF($B43="","",YEAR($B43))</f>
        <v/>
      </c>
    </row>
    <row r="44">
      <c r="A44" s="13">
        <f>IF($B44="","",ROW()-9)</f>
        <v/>
      </c>
      <c r="B44" s="14" t="n"/>
      <c r="C44" s="15" t="n"/>
      <c r="D44" s="15" t="n"/>
      <c r="E44" s="15" t="n"/>
      <c r="F44" s="15">
        <f>IF($E44="","",IFERROR(VLOOKUP($E44,AKUN!$A$2:$B$200,2,FALSE),"Kode tidak ditemukan"))</f>
        <v/>
      </c>
      <c r="G44" s="15" t="n"/>
      <c r="H44" s="17" t="n"/>
      <c r="I44" s="17" t="n"/>
      <c r="J44" s="13">
        <f>IF($B44="","",MONTH($B44))</f>
        <v/>
      </c>
      <c r="K44" s="13">
        <f>IF($B44="","",YEAR($B44))</f>
        <v/>
      </c>
    </row>
    <row r="45">
      <c r="A45" s="18">
        <f>IF($B45="","",ROW()-9)</f>
        <v/>
      </c>
      <c r="B45" s="19" t="n"/>
      <c r="C45" s="4" t="n"/>
      <c r="D45" s="4" t="n"/>
      <c r="E45" s="4" t="n"/>
      <c r="F45" s="4">
        <f>IF($E45="","",IFERROR(VLOOKUP($E45,AKUN!$A$2:$B$200,2,FALSE),"Kode tidak ditemukan"))</f>
        <v/>
      </c>
      <c r="G45" s="4" t="n"/>
      <c r="H45" s="9" t="n"/>
      <c r="I45" s="9" t="n"/>
      <c r="J45" s="18">
        <f>IF($B45="","",MONTH($B45))</f>
        <v/>
      </c>
      <c r="K45" s="18">
        <f>IF($B45="","",YEAR($B45))</f>
        <v/>
      </c>
    </row>
    <row r="46">
      <c r="A46" s="13">
        <f>IF($B46="","",ROW()-9)</f>
        <v/>
      </c>
      <c r="B46" s="14" t="n"/>
      <c r="C46" s="15" t="n"/>
      <c r="D46" s="15" t="n"/>
      <c r="E46" s="15" t="n"/>
      <c r="F46" s="15">
        <f>IF($E46="","",IFERROR(VLOOKUP($E46,AKUN!$A$2:$B$200,2,FALSE),"Kode tidak ditemukan"))</f>
        <v/>
      </c>
      <c r="G46" s="15" t="n"/>
      <c r="H46" s="17" t="n"/>
      <c r="I46" s="17" t="n"/>
      <c r="J46" s="13">
        <f>IF($B46="","",MONTH($B46))</f>
        <v/>
      </c>
      <c r="K46" s="13">
        <f>IF($B46="","",YEAR($B46))</f>
        <v/>
      </c>
    </row>
    <row r="47">
      <c r="A47" s="18">
        <f>IF($B47="","",ROW()-9)</f>
        <v/>
      </c>
      <c r="B47" s="19" t="n"/>
      <c r="C47" s="4" t="n"/>
      <c r="D47" s="4" t="n"/>
      <c r="E47" s="4" t="n"/>
      <c r="F47" s="4">
        <f>IF($E47="","",IFERROR(VLOOKUP($E47,AKUN!$A$2:$B$200,2,FALSE),"Kode tidak ditemukan"))</f>
        <v/>
      </c>
      <c r="G47" s="4" t="n"/>
      <c r="H47" s="9" t="n"/>
      <c r="I47" s="9" t="n"/>
      <c r="J47" s="18">
        <f>IF($B47="","",MONTH($B47))</f>
        <v/>
      </c>
      <c r="K47" s="18">
        <f>IF($B47="","",YEAR($B47))</f>
        <v/>
      </c>
    </row>
    <row r="48">
      <c r="A48" s="13">
        <f>IF($B48="","",ROW()-9)</f>
        <v/>
      </c>
      <c r="B48" s="14" t="n"/>
      <c r="C48" s="15" t="n"/>
      <c r="D48" s="15" t="n"/>
      <c r="E48" s="15" t="n"/>
      <c r="F48" s="15">
        <f>IF($E48="","",IFERROR(VLOOKUP($E48,AKUN!$A$2:$B$200,2,FALSE),"Kode tidak ditemukan"))</f>
        <v/>
      </c>
      <c r="G48" s="15" t="n"/>
      <c r="H48" s="17" t="n"/>
      <c r="I48" s="17" t="n"/>
      <c r="J48" s="13">
        <f>IF($B48="","",MONTH($B48))</f>
        <v/>
      </c>
      <c r="K48" s="13">
        <f>IF($B48="","",YEAR($B48))</f>
        <v/>
      </c>
    </row>
    <row r="49">
      <c r="A49" s="18">
        <f>IF($B49="","",ROW()-9)</f>
        <v/>
      </c>
      <c r="B49" s="19" t="n"/>
      <c r="C49" s="4" t="n"/>
      <c r="D49" s="4" t="n"/>
      <c r="E49" s="4" t="n"/>
      <c r="F49" s="4">
        <f>IF($E49="","",IFERROR(VLOOKUP($E49,AKUN!$A$2:$B$200,2,FALSE),"Kode tidak ditemukan"))</f>
        <v/>
      </c>
      <c r="G49" s="4" t="n"/>
      <c r="H49" s="9" t="n"/>
      <c r="I49" s="9" t="n"/>
      <c r="J49" s="18">
        <f>IF($B49="","",MONTH($B49))</f>
        <v/>
      </c>
      <c r="K49" s="18">
        <f>IF($B49="","",YEAR($B49))</f>
        <v/>
      </c>
    </row>
    <row r="50">
      <c r="A50" s="13">
        <f>IF($B50="","",ROW()-9)</f>
        <v/>
      </c>
      <c r="B50" s="14" t="n"/>
      <c r="C50" s="15" t="n"/>
      <c r="D50" s="15" t="n"/>
      <c r="E50" s="15" t="n"/>
      <c r="F50" s="15">
        <f>IF($E50="","",IFERROR(VLOOKUP($E50,AKUN!$A$2:$B$200,2,FALSE),"Kode tidak ditemukan"))</f>
        <v/>
      </c>
      <c r="G50" s="15" t="n"/>
      <c r="H50" s="17" t="n"/>
      <c r="I50" s="17" t="n"/>
      <c r="J50" s="13">
        <f>IF($B50="","",MONTH($B50))</f>
        <v/>
      </c>
      <c r="K50" s="13">
        <f>IF($B50="","",YEAR($B50))</f>
        <v/>
      </c>
    </row>
    <row r="51">
      <c r="A51" s="18">
        <f>IF($B51="","",ROW()-9)</f>
        <v/>
      </c>
      <c r="B51" s="19" t="n"/>
      <c r="C51" s="4" t="n"/>
      <c r="D51" s="4" t="n"/>
      <c r="E51" s="4" t="n"/>
      <c r="F51" s="4">
        <f>IF($E51="","",IFERROR(VLOOKUP($E51,AKUN!$A$2:$B$200,2,FALSE),"Kode tidak ditemukan"))</f>
        <v/>
      </c>
      <c r="G51" s="4" t="n"/>
      <c r="H51" s="9" t="n"/>
      <c r="I51" s="9" t="n"/>
      <c r="J51" s="18">
        <f>IF($B51="","",MONTH($B51))</f>
        <v/>
      </c>
      <c r="K51" s="18">
        <f>IF($B51="","",YEAR($B51))</f>
        <v/>
      </c>
    </row>
    <row r="52">
      <c r="A52" s="13">
        <f>IF($B52="","",ROW()-9)</f>
        <v/>
      </c>
      <c r="B52" s="14" t="n"/>
      <c r="C52" s="15" t="n"/>
      <c r="D52" s="15" t="n"/>
      <c r="E52" s="15" t="n"/>
      <c r="F52" s="15">
        <f>IF($E52="","",IFERROR(VLOOKUP($E52,AKUN!$A$2:$B$200,2,FALSE),"Kode tidak ditemukan"))</f>
        <v/>
      </c>
      <c r="G52" s="15" t="n"/>
      <c r="H52" s="17" t="n"/>
      <c r="I52" s="17" t="n"/>
      <c r="J52" s="13">
        <f>IF($B52="","",MONTH($B52))</f>
        <v/>
      </c>
      <c r="K52" s="13">
        <f>IF($B52="","",YEAR($B52))</f>
        <v/>
      </c>
    </row>
    <row r="53">
      <c r="A53" s="18">
        <f>IF($B53="","",ROW()-9)</f>
        <v/>
      </c>
      <c r="B53" s="19" t="n"/>
      <c r="C53" s="4" t="n"/>
      <c r="D53" s="4" t="n"/>
      <c r="E53" s="4" t="n"/>
      <c r="F53" s="4">
        <f>IF($E53="","",IFERROR(VLOOKUP($E53,AKUN!$A$2:$B$200,2,FALSE),"Kode tidak ditemukan"))</f>
        <v/>
      </c>
      <c r="G53" s="4" t="n"/>
      <c r="H53" s="9" t="n"/>
      <c r="I53" s="9" t="n"/>
      <c r="J53" s="18">
        <f>IF($B53="","",MONTH($B53))</f>
        <v/>
      </c>
      <c r="K53" s="18">
        <f>IF($B53="","",YEAR($B53))</f>
        <v/>
      </c>
    </row>
    <row r="54">
      <c r="A54" s="13">
        <f>IF($B54="","",ROW()-9)</f>
        <v/>
      </c>
      <c r="B54" s="14" t="n"/>
      <c r="C54" s="15" t="n"/>
      <c r="D54" s="15" t="n"/>
      <c r="E54" s="15" t="n"/>
      <c r="F54" s="15">
        <f>IF($E54="","",IFERROR(VLOOKUP($E54,AKUN!$A$2:$B$200,2,FALSE),"Kode tidak ditemukan"))</f>
        <v/>
      </c>
      <c r="G54" s="15" t="n"/>
      <c r="H54" s="17" t="n"/>
      <c r="I54" s="17" t="n"/>
      <c r="J54" s="13">
        <f>IF($B54="","",MONTH($B54))</f>
        <v/>
      </c>
      <c r="K54" s="13">
        <f>IF($B54="","",YEAR($B54))</f>
        <v/>
      </c>
    </row>
    <row r="55">
      <c r="A55" s="18">
        <f>IF($B55="","",ROW()-9)</f>
        <v/>
      </c>
      <c r="B55" s="19" t="n"/>
      <c r="C55" s="4" t="n"/>
      <c r="D55" s="4" t="n"/>
      <c r="E55" s="4" t="n"/>
      <c r="F55" s="4">
        <f>IF($E55="","",IFERROR(VLOOKUP($E55,AKUN!$A$2:$B$200,2,FALSE),"Kode tidak ditemukan"))</f>
        <v/>
      </c>
      <c r="G55" s="4" t="n"/>
      <c r="H55" s="9" t="n"/>
      <c r="I55" s="9" t="n"/>
      <c r="J55" s="18">
        <f>IF($B55="","",MONTH($B55))</f>
        <v/>
      </c>
      <c r="K55" s="18">
        <f>IF($B55="","",YEAR($B55))</f>
        <v/>
      </c>
    </row>
    <row r="56">
      <c r="A56" s="13">
        <f>IF($B56="","",ROW()-9)</f>
        <v/>
      </c>
      <c r="B56" s="14" t="n"/>
      <c r="C56" s="15" t="n"/>
      <c r="D56" s="15" t="n"/>
      <c r="E56" s="15" t="n"/>
      <c r="F56" s="15">
        <f>IF($E56="","",IFERROR(VLOOKUP($E56,AKUN!$A$2:$B$200,2,FALSE),"Kode tidak ditemukan"))</f>
        <v/>
      </c>
      <c r="G56" s="15" t="n"/>
      <c r="H56" s="17" t="n"/>
      <c r="I56" s="17" t="n"/>
      <c r="J56" s="13">
        <f>IF($B56="","",MONTH($B56))</f>
        <v/>
      </c>
      <c r="K56" s="13">
        <f>IF($B56="","",YEAR($B56))</f>
        <v/>
      </c>
    </row>
    <row r="57">
      <c r="A57" s="18">
        <f>IF($B57="","",ROW()-9)</f>
        <v/>
      </c>
      <c r="B57" s="19" t="n"/>
      <c r="C57" s="4" t="n"/>
      <c r="D57" s="4" t="n"/>
      <c r="E57" s="4" t="n"/>
      <c r="F57" s="4">
        <f>IF($E57="","",IFERROR(VLOOKUP($E57,AKUN!$A$2:$B$200,2,FALSE),"Kode tidak ditemukan"))</f>
        <v/>
      </c>
      <c r="G57" s="4" t="n"/>
      <c r="H57" s="9" t="n"/>
      <c r="I57" s="9" t="n"/>
      <c r="J57" s="18">
        <f>IF($B57="","",MONTH($B57))</f>
        <v/>
      </c>
      <c r="K57" s="18">
        <f>IF($B57="","",YEAR($B57))</f>
        <v/>
      </c>
    </row>
    <row r="58">
      <c r="A58" s="13">
        <f>IF($B58="","",ROW()-9)</f>
        <v/>
      </c>
      <c r="B58" s="14" t="n"/>
      <c r="C58" s="15" t="n"/>
      <c r="D58" s="15" t="n"/>
      <c r="E58" s="15" t="n"/>
      <c r="F58" s="15">
        <f>IF($E58="","",IFERROR(VLOOKUP($E58,AKUN!$A$2:$B$200,2,FALSE),"Kode tidak ditemukan"))</f>
        <v/>
      </c>
      <c r="G58" s="15" t="n"/>
      <c r="H58" s="17" t="n"/>
      <c r="I58" s="17" t="n"/>
      <c r="J58" s="13">
        <f>IF($B58="","",MONTH($B58))</f>
        <v/>
      </c>
      <c r="K58" s="13">
        <f>IF($B58="","",YEAR($B58))</f>
        <v/>
      </c>
    </row>
    <row r="59">
      <c r="A59" s="18">
        <f>IF($B59="","",ROW()-9)</f>
        <v/>
      </c>
      <c r="B59" s="19" t="n"/>
      <c r="C59" s="4" t="n"/>
      <c r="D59" s="4" t="n"/>
      <c r="E59" s="4" t="n"/>
      <c r="F59" s="4">
        <f>IF($E59="","",IFERROR(VLOOKUP($E59,AKUN!$A$2:$B$200,2,FALSE),"Kode tidak ditemukan"))</f>
        <v/>
      </c>
      <c r="G59" s="4" t="n"/>
      <c r="H59" s="9" t="n"/>
      <c r="I59" s="9" t="n"/>
      <c r="J59" s="18">
        <f>IF($B59="","",MONTH($B59))</f>
        <v/>
      </c>
      <c r="K59" s="18">
        <f>IF($B59="","",YEAR($B59))</f>
        <v/>
      </c>
    </row>
    <row r="60">
      <c r="A60" s="13">
        <f>IF($B60="","",ROW()-9)</f>
        <v/>
      </c>
      <c r="B60" s="14" t="n"/>
      <c r="C60" s="15" t="n"/>
      <c r="D60" s="15" t="n"/>
      <c r="E60" s="15" t="n"/>
      <c r="F60" s="15">
        <f>IF($E60="","",IFERROR(VLOOKUP($E60,AKUN!$A$2:$B$200,2,FALSE),"Kode tidak ditemukan"))</f>
        <v/>
      </c>
      <c r="G60" s="15" t="n"/>
      <c r="H60" s="17" t="n"/>
      <c r="I60" s="17" t="n"/>
      <c r="J60" s="13">
        <f>IF($B60="","",MONTH($B60))</f>
        <v/>
      </c>
      <c r="K60" s="13">
        <f>IF($B60="","",YEAR($B60))</f>
        <v/>
      </c>
    </row>
    <row r="61">
      <c r="A61" s="18">
        <f>IF($B61="","",ROW()-9)</f>
        <v/>
      </c>
      <c r="B61" s="19" t="n"/>
      <c r="C61" s="4" t="n"/>
      <c r="D61" s="4" t="n"/>
      <c r="E61" s="4" t="n"/>
      <c r="F61" s="4">
        <f>IF($E61="","",IFERROR(VLOOKUP($E61,AKUN!$A$2:$B$200,2,FALSE),"Kode tidak ditemukan"))</f>
        <v/>
      </c>
      <c r="G61" s="4" t="n"/>
      <c r="H61" s="9" t="n"/>
      <c r="I61" s="9" t="n"/>
      <c r="J61" s="18">
        <f>IF($B61="","",MONTH($B61))</f>
        <v/>
      </c>
      <c r="K61" s="18">
        <f>IF($B61="","",YEAR($B61))</f>
        <v/>
      </c>
    </row>
    <row r="62">
      <c r="A62" s="13">
        <f>IF($B62="","",ROW()-9)</f>
        <v/>
      </c>
      <c r="B62" s="14" t="n"/>
      <c r="C62" s="15" t="n"/>
      <c r="D62" s="15" t="n"/>
      <c r="E62" s="15" t="n"/>
      <c r="F62" s="15">
        <f>IF($E62="","",IFERROR(VLOOKUP($E62,AKUN!$A$2:$B$200,2,FALSE),"Kode tidak ditemukan"))</f>
        <v/>
      </c>
      <c r="G62" s="15" t="n"/>
      <c r="H62" s="17" t="n"/>
      <c r="I62" s="17" t="n"/>
      <c r="J62" s="13">
        <f>IF($B62="","",MONTH($B62))</f>
        <v/>
      </c>
      <c r="K62" s="13">
        <f>IF($B62="","",YEAR($B62))</f>
        <v/>
      </c>
    </row>
    <row r="63">
      <c r="A63" s="18">
        <f>IF($B63="","",ROW()-9)</f>
        <v/>
      </c>
      <c r="B63" s="19" t="n"/>
      <c r="C63" s="4" t="n"/>
      <c r="D63" s="4" t="n"/>
      <c r="E63" s="4" t="n"/>
      <c r="F63" s="4">
        <f>IF($E63="","",IFERROR(VLOOKUP($E63,AKUN!$A$2:$B$200,2,FALSE),"Kode tidak ditemukan"))</f>
        <v/>
      </c>
      <c r="G63" s="4" t="n"/>
      <c r="H63" s="9" t="n"/>
      <c r="I63" s="9" t="n"/>
      <c r="J63" s="18">
        <f>IF($B63="","",MONTH($B63))</f>
        <v/>
      </c>
      <c r="K63" s="18">
        <f>IF($B63="","",YEAR($B63))</f>
        <v/>
      </c>
    </row>
    <row r="64">
      <c r="A64" s="13">
        <f>IF($B64="","",ROW()-9)</f>
        <v/>
      </c>
      <c r="B64" s="14" t="n"/>
      <c r="C64" s="15" t="n"/>
      <c r="D64" s="15" t="n"/>
      <c r="E64" s="15" t="n"/>
      <c r="F64" s="15">
        <f>IF($E64="","",IFERROR(VLOOKUP($E64,AKUN!$A$2:$B$200,2,FALSE),"Kode tidak ditemukan"))</f>
        <v/>
      </c>
      <c r="G64" s="15" t="n"/>
      <c r="H64" s="17" t="n"/>
      <c r="I64" s="17" t="n"/>
      <c r="J64" s="13">
        <f>IF($B64="","",MONTH($B64))</f>
        <v/>
      </c>
      <c r="K64" s="13">
        <f>IF($B64="","",YEAR($B64))</f>
        <v/>
      </c>
    </row>
    <row r="65">
      <c r="A65" s="18">
        <f>IF($B65="","",ROW()-9)</f>
        <v/>
      </c>
      <c r="B65" s="19" t="n"/>
      <c r="C65" s="4" t="n"/>
      <c r="D65" s="4" t="n"/>
      <c r="E65" s="4" t="n"/>
      <c r="F65" s="4">
        <f>IF($E65="","",IFERROR(VLOOKUP($E65,AKUN!$A$2:$B$200,2,FALSE),"Kode tidak ditemukan"))</f>
        <v/>
      </c>
      <c r="G65" s="4" t="n"/>
      <c r="H65" s="9" t="n"/>
      <c r="I65" s="9" t="n"/>
      <c r="J65" s="18">
        <f>IF($B65="","",MONTH($B65))</f>
        <v/>
      </c>
      <c r="K65" s="18">
        <f>IF($B65="","",YEAR($B65))</f>
        <v/>
      </c>
    </row>
    <row r="66">
      <c r="A66" s="13">
        <f>IF($B66="","",ROW()-9)</f>
        <v/>
      </c>
      <c r="B66" s="14" t="n"/>
      <c r="C66" s="15" t="n"/>
      <c r="D66" s="15" t="n"/>
      <c r="E66" s="15" t="n"/>
      <c r="F66" s="15">
        <f>IF($E66="","",IFERROR(VLOOKUP($E66,AKUN!$A$2:$B$200,2,FALSE),"Kode tidak ditemukan"))</f>
        <v/>
      </c>
      <c r="G66" s="15" t="n"/>
      <c r="H66" s="17" t="n"/>
      <c r="I66" s="17" t="n"/>
      <c r="J66" s="13">
        <f>IF($B66="","",MONTH($B66))</f>
        <v/>
      </c>
      <c r="K66" s="13">
        <f>IF($B66="","",YEAR($B66))</f>
        <v/>
      </c>
    </row>
    <row r="67">
      <c r="A67" s="18">
        <f>IF($B67="","",ROW()-9)</f>
        <v/>
      </c>
      <c r="B67" s="19" t="n"/>
      <c r="C67" s="4" t="n"/>
      <c r="D67" s="4" t="n"/>
      <c r="E67" s="4" t="n"/>
      <c r="F67" s="4">
        <f>IF($E67="","",IFERROR(VLOOKUP($E67,AKUN!$A$2:$B$200,2,FALSE),"Kode tidak ditemukan"))</f>
        <v/>
      </c>
      <c r="G67" s="4" t="n"/>
      <c r="H67" s="9" t="n"/>
      <c r="I67" s="9" t="n"/>
      <c r="J67" s="18">
        <f>IF($B67="","",MONTH($B67))</f>
        <v/>
      </c>
      <c r="K67" s="18">
        <f>IF($B67="","",YEAR($B67))</f>
        <v/>
      </c>
    </row>
    <row r="68">
      <c r="A68" s="13">
        <f>IF($B68="","",ROW()-9)</f>
        <v/>
      </c>
      <c r="B68" s="14" t="n"/>
      <c r="C68" s="15" t="n"/>
      <c r="D68" s="15" t="n"/>
      <c r="E68" s="15" t="n"/>
      <c r="F68" s="15">
        <f>IF($E68="","",IFERROR(VLOOKUP($E68,AKUN!$A$2:$B$200,2,FALSE),"Kode tidak ditemukan"))</f>
        <v/>
      </c>
      <c r="G68" s="15" t="n"/>
      <c r="H68" s="17" t="n"/>
      <c r="I68" s="17" t="n"/>
      <c r="J68" s="13">
        <f>IF($B68="","",MONTH($B68))</f>
        <v/>
      </c>
      <c r="K68" s="13">
        <f>IF($B68="","",YEAR($B68))</f>
        <v/>
      </c>
    </row>
    <row r="69">
      <c r="A69" s="18">
        <f>IF($B69="","",ROW()-9)</f>
        <v/>
      </c>
      <c r="B69" s="19" t="n"/>
      <c r="C69" s="4" t="n"/>
      <c r="D69" s="4" t="n"/>
      <c r="E69" s="4" t="n"/>
      <c r="F69" s="4">
        <f>IF($E69="","",IFERROR(VLOOKUP($E69,AKUN!$A$2:$B$200,2,FALSE),"Kode tidak ditemukan"))</f>
        <v/>
      </c>
      <c r="G69" s="4" t="n"/>
      <c r="H69" s="9" t="n"/>
      <c r="I69" s="9" t="n"/>
      <c r="J69" s="18">
        <f>IF($B69="","",MONTH($B69))</f>
        <v/>
      </c>
      <c r="K69" s="18">
        <f>IF($B69="","",YEAR($B69))</f>
        <v/>
      </c>
    </row>
    <row r="70">
      <c r="A70" s="13">
        <f>IF($B70="","",ROW()-9)</f>
        <v/>
      </c>
      <c r="B70" s="14" t="n"/>
      <c r="C70" s="15" t="n"/>
      <c r="D70" s="15" t="n"/>
      <c r="E70" s="15" t="n"/>
      <c r="F70" s="15">
        <f>IF($E70="","",IFERROR(VLOOKUP($E70,AKUN!$A$2:$B$200,2,FALSE),"Kode tidak ditemukan"))</f>
        <v/>
      </c>
      <c r="G70" s="15" t="n"/>
      <c r="H70" s="17" t="n"/>
      <c r="I70" s="17" t="n"/>
      <c r="J70" s="13">
        <f>IF($B70="","",MONTH($B70))</f>
        <v/>
      </c>
      <c r="K70" s="13">
        <f>IF($B70="","",YEAR($B70))</f>
        <v/>
      </c>
    </row>
    <row r="71">
      <c r="A71" s="18">
        <f>IF($B71="","",ROW()-9)</f>
        <v/>
      </c>
      <c r="B71" s="19" t="n"/>
      <c r="C71" s="4" t="n"/>
      <c r="D71" s="4" t="n"/>
      <c r="E71" s="4" t="n"/>
      <c r="F71" s="4">
        <f>IF($E71="","",IFERROR(VLOOKUP($E71,AKUN!$A$2:$B$200,2,FALSE),"Kode tidak ditemukan"))</f>
        <v/>
      </c>
      <c r="G71" s="4" t="n"/>
      <c r="H71" s="9" t="n"/>
      <c r="I71" s="9" t="n"/>
      <c r="J71" s="18">
        <f>IF($B71="","",MONTH($B71))</f>
        <v/>
      </c>
      <c r="K71" s="18">
        <f>IF($B71="","",YEAR($B71))</f>
        <v/>
      </c>
    </row>
    <row r="72">
      <c r="A72" s="13">
        <f>IF($B72="","",ROW()-9)</f>
        <v/>
      </c>
      <c r="B72" s="14" t="n"/>
      <c r="C72" s="15" t="n"/>
      <c r="D72" s="15" t="n"/>
      <c r="E72" s="15" t="n"/>
      <c r="F72" s="15">
        <f>IF($E72="","",IFERROR(VLOOKUP($E72,AKUN!$A$2:$B$200,2,FALSE),"Kode tidak ditemukan"))</f>
        <v/>
      </c>
      <c r="G72" s="15" t="n"/>
      <c r="H72" s="17" t="n"/>
      <c r="I72" s="17" t="n"/>
      <c r="J72" s="13">
        <f>IF($B72="","",MONTH($B72))</f>
        <v/>
      </c>
      <c r="K72" s="13">
        <f>IF($B72="","",YEAR($B72))</f>
        <v/>
      </c>
    </row>
    <row r="73">
      <c r="A73" s="18">
        <f>IF($B73="","",ROW()-9)</f>
        <v/>
      </c>
      <c r="B73" s="19" t="n"/>
      <c r="C73" s="4" t="n"/>
      <c r="D73" s="4" t="n"/>
      <c r="E73" s="4" t="n"/>
      <c r="F73" s="4">
        <f>IF($E73="","",IFERROR(VLOOKUP($E73,AKUN!$A$2:$B$200,2,FALSE),"Kode tidak ditemukan"))</f>
        <v/>
      </c>
      <c r="G73" s="4" t="n"/>
      <c r="H73" s="9" t="n"/>
      <c r="I73" s="9" t="n"/>
      <c r="J73" s="18">
        <f>IF($B73="","",MONTH($B73))</f>
        <v/>
      </c>
      <c r="K73" s="18">
        <f>IF($B73="","",YEAR($B73))</f>
        <v/>
      </c>
    </row>
    <row r="74">
      <c r="A74" s="13">
        <f>IF($B74="","",ROW()-9)</f>
        <v/>
      </c>
      <c r="B74" s="14" t="n"/>
      <c r="C74" s="15" t="n"/>
      <c r="D74" s="15" t="n"/>
      <c r="E74" s="15" t="n"/>
      <c r="F74" s="15">
        <f>IF($E74="","",IFERROR(VLOOKUP($E74,AKUN!$A$2:$B$200,2,FALSE),"Kode tidak ditemukan"))</f>
        <v/>
      </c>
      <c r="G74" s="15" t="n"/>
      <c r="H74" s="17" t="n"/>
      <c r="I74" s="17" t="n"/>
      <c r="J74" s="13">
        <f>IF($B74="","",MONTH($B74))</f>
        <v/>
      </c>
      <c r="K74" s="13">
        <f>IF($B74="","",YEAR($B74))</f>
        <v/>
      </c>
    </row>
    <row r="75">
      <c r="A75" s="18">
        <f>IF($B75="","",ROW()-9)</f>
        <v/>
      </c>
      <c r="B75" s="19" t="n"/>
      <c r="C75" s="4" t="n"/>
      <c r="D75" s="4" t="n"/>
      <c r="E75" s="4" t="n"/>
      <c r="F75" s="4">
        <f>IF($E75="","",IFERROR(VLOOKUP($E75,AKUN!$A$2:$B$200,2,FALSE),"Kode tidak ditemukan"))</f>
        <v/>
      </c>
      <c r="G75" s="4" t="n"/>
      <c r="H75" s="9" t="n"/>
      <c r="I75" s="9" t="n"/>
      <c r="J75" s="18">
        <f>IF($B75="","",MONTH($B75))</f>
        <v/>
      </c>
      <c r="K75" s="18">
        <f>IF($B75="","",YEAR($B75))</f>
        <v/>
      </c>
    </row>
    <row r="76">
      <c r="A76" s="13">
        <f>IF($B76="","",ROW()-9)</f>
        <v/>
      </c>
      <c r="B76" s="14" t="n"/>
      <c r="C76" s="15" t="n"/>
      <c r="D76" s="15" t="n"/>
      <c r="E76" s="15" t="n"/>
      <c r="F76" s="15">
        <f>IF($E76="","",IFERROR(VLOOKUP($E76,AKUN!$A$2:$B$200,2,FALSE),"Kode tidak ditemukan"))</f>
        <v/>
      </c>
      <c r="G76" s="15" t="n"/>
      <c r="H76" s="17" t="n"/>
      <c r="I76" s="17" t="n"/>
      <c r="J76" s="13">
        <f>IF($B76="","",MONTH($B76))</f>
        <v/>
      </c>
      <c r="K76" s="13">
        <f>IF($B76="","",YEAR($B76))</f>
        <v/>
      </c>
    </row>
    <row r="77">
      <c r="A77" s="18">
        <f>IF($B77="","",ROW()-9)</f>
        <v/>
      </c>
      <c r="B77" s="19" t="n"/>
      <c r="C77" s="4" t="n"/>
      <c r="D77" s="4" t="n"/>
      <c r="E77" s="4" t="n"/>
      <c r="F77" s="4">
        <f>IF($E77="","",IFERROR(VLOOKUP($E77,AKUN!$A$2:$B$200,2,FALSE),"Kode tidak ditemukan"))</f>
        <v/>
      </c>
      <c r="G77" s="4" t="n"/>
      <c r="H77" s="9" t="n"/>
      <c r="I77" s="9" t="n"/>
      <c r="J77" s="18">
        <f>IF($B77="","",MONTH($B77))</f>
        <v/>
      </c>
      <c r="K77" s="18">
        <f>IF($B77="","",YEAR($B77))</f>
        <v/>
      </c>
    </row>
    <row r="78">
      <c r="A78" s="13">
        <f>IF($B78="","",ROW()-9)</f>
        <v/>
      </c>
      <c r="B78" s="14" t="n"/>
      <c r="C78" s="15" t="n"/>
      <c r="D78" s="15" t="n"/>
      <c r="E78" s="15" t="n"/>
      <c r="F78" s="15">
        <f>IF($E78="","",IFERROR(VLOOKUP($E78,AKUN!$A$2:$B$200,2,FALSE),"Kode tidak ditemukan"))</f>
        <v/>
      </c>
      <c r="G78" s="15" t="n"/>
      <c r="H78" s="17" t="n"/>
      <c r="I78" s="17" t="n"/>
      <c r="J78" s="13">
        <f>IF($B78="","",MONTH($B78))</f>
        <v/>
      </c>
      <c r="K78" s="13">
        <f>IF($B78="","",YEAR($B78))</f>
        <v/>
      </c>
    </row>
    <row r="79">
      <c r="A79" s="18">
        <f>IF($B79="","",ROW()-9)</f>
        <v/>
      </c>
      <c r="B79" s="19" t="n"/>
      <c r="C79" s="4" t="n"/>
      <c r="D79" s="4" t="n"/>
      <c r="E79" s="4" t="n"/>
      <c r="F79" s="4">
        <f>IF($E79="","",IFERROR(VLOOKUP($E79,AKUN!$A$2:$B$200,2,FALSE),"Kode tidak ditemukan"))</f>
        <v/>
      </c>
      <c r="G79" s="4" t="n"/>
      <c r="H79" s="9" t="n"/>
      <c r="I79" s="9" t="n"/>
      <c r="J79" s="18">
        <f>IF($B79="","",MONTH($B79))</f>
        <v/>
      </c>
      <c r="K79" s="18">
        <f>IF($B79="","",YEAR($B79))</f>
        <v/>
      </c>
    </row>
    <row r="80">
      <c r="A80" s="13">
        <f>IF($B80="","",ROW()-9)</f>
        <v/>
      </c>
      <c r="B80" s="14" t="n"/>
      <c r="C80" s="15" t="n"/>
      <c r="D80" s="15" t="n"/>
      <c r="E80" s="15" t="n"/>
      <c r="F80" s="15">
        <f>IF($E80="","",IFERROR(VLOOKUP($E80,AKUN!$A$2:$B$200,2,FALSE),"Kode tidak ditemukan"))</f>
        <v/>
      </c>
      <c r="G80" s="15" t="n"/>
      <c r="H80" s="17" t="n"/>
      <c r="I80" s="17" t="n"/>
      <c r="J80" s="13">
        <f>IF($B80="","",MONTH($B80))</f>
        <v/>
      </c>
      <c r="K80" s="13">
        <f>IF($B80="","",YEAR($B80))</f>
        <v/>
      </c>
    </row>
    <row r="81">
      <c r="A81" s="18">
        <f>IF($B81="","",ROW()-9)</f>
        <v/>
      </c>
      <c r="B81" s="19" t="n"/>
      <c r="C81" s="4" t="n"/>
      <c r="D81" s="4" t="n"/>
      <c r="E81" s="4" t="n"/>
      <c r="F81" s="4">
        <f>IF($E81="","",IFERROR(VLOOKUP($E81,AKUN!$A$2:$B$200,2,FALSE),"Kode tidak ditemukan"))</f>
        <v/>
      </c>
      <c r="G81" s="4" t="n"/>
      <c r="H81" s="9" t="n"/>
      <c r="I81" s="9" t="n"/>
      <c r="J81" s="18">
        <f>IF($B81="","",MONTH($B81))</f>
        <v/>
      </c>
      <c r="K81" s="18">
        <f>IF($B81="","",YEAR($B81))</f>
        <v/>
      </c>
    </row>
    <row r="82">
      <c r="A82" s="13">
        <f>IF($B82="","",ROW()-9)</f>
        <v/>
      </c>
      <c r="B82" s="14" t="n"/>
      <c r="C82" s="15" t="n"/>
      <c r="D82" s="15" t="n"/>
      <c r="E82" s="15" t="n"/>
      <c r="F82" s="15">
        <f>IF($E82="","",IFERROR(VLOOKUP($E82,AKUN!$A$2:$B$200,2,FALSE),"Kode tidak ditemukan"))</f>
        <v/>
      </c>
      <c r="G82" s="15" t="n"/>
      <c r="H82" s="17" t="n"/>
      <c r="I82" s="17" t="n"/>
      <c r="J82" s="13">
        <f>IF($B82="","",MONTH($B82))</f>
        <v/>
      </c>
      <c r="K82" s="13">
        <f>IF($B82="","",YEAR($B82))</f>
        <v/>
      </c>
    </row>
    <row r="83">
      <c r="A83" s="18">
        <f>IF($B83="","",ROW()-9)</f>
        <v/>
      </c>
      <c r="B83" s="19" t="n"/>
      <c r="C83" s="4" t="n"/>
      <c r="D83" s="4" t="n"/>
      <c r="E83" s="4" t="n"/>
      <c r="F83" s="4">
        <f>IF($E83="","",IFERROR(VLOOKUP($E83,AKUN!$A$2:$B$200,2,FALSE),"Kode tidak ditemukan"))</f>
        <v/>
      </c>
      <c r="G83" s="4" t="n"/>
      <c r="H83" s="9" t="n"/>
      <c r="I83" s="9" t="n"/>
      <c r="J83" s="18">
        <f>IF($B83="","",MONTH($B83))</f>
        <v/>
      </c>
      <c r="K83" s="18">
        <f>IF($B83="","",YEAR($B83))</f>
        <v/>
      </c>
    </row>
    <row r="84">
      <c r="A84" s="13">
        <f>IF($B84="","",ROW()-9)</f>
        <v/>
      </c>
      <c r="B84" s="14" t="n"/>
      <c r="C84" s="15" t="n"/>
      <c r="D84" s="15" t="n"/>
      <c r="E84" s="15" t="n"/>
      <c r="F84" s="15">
        <f>IF($E84="","",IFERROR(VLOOKUP($E84,AKUN!$A$2:$B$200,2,FALSE),"Kode tidak ditemukan"))</f>
        <v/>
      </c>
      <c r="G84" s="15" t="n"/>
      <c r="H84" s="17" t="n"/>
      <c r="I84" s="17" t="n"/>
      <c r="J84" s="13">
        <f>IF($B84="","",MONTH($B84))</f>
        <v/>
      </c>
      <c r="K84" s="13">
        <f>IF($B84="","",YEAR($B84))</f>
        <v/>
      </c>
    </row>
    <row r="85">
      <c r="A85" s="18">
        <f>IF($B85="","",ROW()-9)</f>
        <v/>
      </c>
      <c r="B85" s="19" t="n"/>
      <c r="C85" s="4" t="n"/>
      <c r="D85" s="4" t="n"/>
      <c r="E85" s="4" t="n"/>
      <c r="F85" s="4">
        <f>IF($E85="","",IFERROR(VLOOKUP($E85,AKUN!$A$2:$B$200,2,FALSE),"Kode tidak ditemukan"))</f>
        <v/>
      </c>
      <c r="G85" s="4" t="n"/>
      <c r="H85" s="9" t="n"/>
      <c r="I85" s="9" t="n"/>
      <c r="J85" s="18">
        <f>IF($B85="","",MONTH($B85))</f>
        <v/>
      </c>
      <c r="K85" s="18">
        <f>IF($B85="","",YEAR($B85))</f>
        <v/>
      </c>
    </row>
    <row r="86">
      <c r="A86" s="13">
        <f>IF($B86="","",ROW()-9)</f>
        <v/>
      </c>
      <c r="B86" s="14" t="n"/>
      <c r="C86" s="15" t="n"/>
      <c r="D86" s="15" t="n"/>
      <c r="E86" s="15" t="n"/>
      <c r="F86" s="15">
        <f>IF($E86="","",IFERROR(VLOOKUP($E86,AKUN!$A$2:$B$200,2,FALSE),"Kode tidak ditemukan"))</f>
        <v/>
      </c>
      <c r="G86" s="15" t="n"/>
      <c r="H86" s="17" t="n"/>
      <c r="I86" s="17" t="n"/>
      <c r="J86" s="13">
        <f>IF($B86="","",MONTH($B86))</f>
        <v/>
      </c>
      <c r="K86" s="13">
        <f>IF($B86="","",YEAR($B86))</f>
        <v/>
      </c>
    </row>
    <row r="87">
      <c r="A87" s="18">
        <f>IF($B87="","",ROW()-9)</f>
        <v/>
      </c>
      <c r="B87" s="19" t="n"/>
      <c r="C87" s="4" t="n"/>
      <c r="D87" s="4" t="n"/>
      <c r="E87" s="4" t="n"/>
      <c r="F87" s="4">
        <f>IF($E87="","",IFERROR(VLOOKUP($E87,AKUN!$A$2:$B$200,2,FALSE),"Kode tidak ditemukan"))</f>
        <v/>
      </c>
      <c r="G87" s="4" t="n"/>
      <c r="H87" s="9" t="n"/>
      <c r="I87" s="9" t="n"/>
      <c r="J87" s="18">
        <f>IF($B87="","",MONTH($B87))</f>
        <v/>
      </c>
      <c r="K87" s="18">
        <f>IF($B87="","",YEAR($B87))</f>
        <v/>
      </c>
    </row>
    <row r="88">
      <c r="A88" s="13">
        <f>IF($B88="","",ROW()-9)</f>
        <v/>
      </c>
      <c r="B88" s="14" t="n"/>
      <c r="C88" s="15" t="n"/>
      <c r="D88" s="15" t="n"/>
      <c r="E88" s="15" t="n"/>
      <c r="F88" s="15">
        <f>IF($E88="","",IFERROR(VLOOKUP($E88,AKUN!$A$2:$B$200,2,FALSE),"Kode tidak ditemukan"))</f>
        <v/>
      </c>
      <c r="G88" s="15" t="n"/>
      <c r="H88" s="17" t="n"/>
      <c r="I88" s="17" t="n"/>
      <c r="J88" s="13">
        <f>IF($B88="","",MONTH($B88))</f>
        <v/>
      </c>
      <c r="K88" s="13">
        <f>IF($B88="","",YEAR($B88))</f>
        <v/>
      </c>
    </row>
    <row r="89">
      <c r="A89" s="18">
        <f>IF($B89="","",ROW()-9)</f>
        <v/>
      </c>
      <c r="B89" s="19" t="n"/>
      <c r="C89" s="4" t="n"/>
      <c r="D89" s="4" t="n"/>
      <c r="E89" s="4" t="n"/>
      <c r="F89" s="4">
        <f>IF($E89="","",IFERROR(VLOOKUP($E89,AKUN!$A$2:$B$200,2,FALSE),"Kode tidak ditemukan"))</f>
        <v/>
      </c>
      <c r="G89" s="4" t="n"/>
      <c r="H89" s="9" t="n"/>
      <c r="I89" s="9" t="n"/>
      <c r="J89" s="18">
        <f>IF($B89="","",MONTH($B89))</f>
        <v/>
      </c>
      <c r="K89" s="18">
        <f>IF($B89="","",YEAR($B89))</f>
        <v/>
      </c>
    </row>
    <row r="90">
      <c r="A90" s="13">
        <f>IF($B90="","",ROW()-9)</f>
        <v/>
      </c>
      <c r="B90" s="14" t="n"/>
      <c r="C90" s="15" t="n"/>
      <c r="D90" s="15" t="n"/>
      <c r="E90" s="15" t="n"/>
      <c r="F90" s="15">
        <f>IF($E90="","",IFERROR(VLOOKUP($E90,AKUN!$A$2:$B$200,2,FALSE),"Kode tidak ditemukan"))</f>
        <v/>
      </c>
      <c r="G90" s="15" t="n"/>
      <c r="H90" s="17" t="n"/>
      <c r="I90" s="17" t="n"/>
      <c r="J90" s="13">
        <f>IF($B90="","",MONTH($B90))</f>
        <v/>
      </c>
      <c r="K90" s="13">
        <f>IF($B90="","",YEAR($B90))</f>
        <v/>
      </c>
    </row>
    <row r="91">
      <c r="A91" s="18">
        <f>IF($B91="","",ROW()-9)</f>
        <v/>
      </c>
      <c r="B91" s="19" t="n"/>
      <c r="C91" s="4" t="n"/>
      <c r="D91" s="4" t="n"/>
      <c r="E91" s="4" t="n"/>
      <c r="F91" s="4">
        <f>IF($E91="","",IFERROR(VLOOKUP($E91,AKUN!$A$2:$B$200,2,FALSE),"Kode tidak ditemukan"))</f>
        <v/>
      </c>
      <c r="G91" s="4" t="n"/>
      <c r="H91" s="9" t="n"/>
      <c r="I91" s="9" t="n"/>
      <c r="J91" s="18">
        <f>IF($B91="","",MONTH($B91))</f>
        <v/>
      </c>
      <c r="K91" s="18">
        <f>IF($B91="","",YEAR($B91))</f>
        <v/>
      </c>
    </row>
    <row r="92">
      <c r="A92" s="13">
        <f>IF($B92="","",ROW()-9)</f>
        <v/>
      </c>
      <c r="B92" s="14" t="n"/>
      <c r="C92" s="15" t="n"/>
      <c r="D92" s="15" t="n"/>
      <c r="E92" s="15" t="n"/>
      <c r="F92" s="15">
        <f>IF($E92="","",IFERROR(VLOOKUP($E92,AKUN!$A$2:$B$200,2,FALSE),"Kode tidak ditemukan"))</f>
        <v/>
      </c>
      <c r="G92" s="15" t="n"/>
      <c r="H92" s="17" t="n"/>
      <c r="I92" s="17" t="n"/>
      <c r="J92" s="13">
        <f>IF($B92="","",MONTH($B92))</f>
        <v/>
      </c>
      <c r="K92" s="13">
        <f>IF($B92="","",YEAR($B92))</f>
        <v/>
      </c>
    </row>
    <row r="93">
      <c r="A93" s="18">
        <f>IF($B93="","",ROW()-9)</f>
        <v/>
      </c>
      <c r="B93" s="19" t="n"/>
      <c r="C93" s="4" t="n"/>
      <c r="D93" s="4" t="n"/>
      <c r="E93" s="4" t="n"/>
      <c r="F93" s="4">
        <f>IF($E93="","",IFERROR(VLOOKUP($E93,AKUN!$A$2:$B$200,2,FALSE),"Kode tidak ditemukan"))</f>
        <v/>
      </c>
      <c r="G93" s="4" t="n"/>
      <c r="H93" s="9" t="n"/>
      <c r="I93" s="9" t="n"/>
      <c r="J93" s="18">
        <f>IF($B93="","",MONTH($B93))</f>
        <v/>
      </c>
      <c r="K93" s="18">
        <f>IF($B93="","",YEAR($B93))</f>
        <v/>
      </c>
    </row>
    <row r="94">
      <c r="A94" s="13">
        <f>IF($B94="","",ROW()-9)</f>
        <v/>
      </c>
      <c r="B94" s="14" t="n"/>
      <c r="C94" s="15" t="n"/>
      <c r="D94" s="15" t="n"/>
      <c r="E94" s="15" t="n"/>
      <c r="F94" s="15">
        <f>IF($E94="","",IFERROR(VLOOKUP($E94,AKUN!$A$2:$B$200,2,FALSE),"Kode tidak ditemukan"))</f>
        <v/>
      </c>
      <c r="G94" s="15" t="n"/>
      <c r="H94" s="17" t="n"/>
      <c r="I94" s="17" t="n"/>
      <c r="J94" s="13">
        <f>IF($B94="","",MONTH($B94))</f>
        <v/>
      </c>
      <c r="K94" s="13">
        <f>IF($B94="","",YEAR($B94))</f>
        <v/>
      </c>
    </row>
    <row r="95">
      <c r="A95" s="18">
        <f>IF($B95="","",ROW()-9)</f>
        <v/>
      </c>
      <c r="B95" s="19" t="n"/>
      <c r="C95" s="4" t="n"/>
      <c r="D95" s="4" t="n"/>
      <c r="E95" s="4" t="n"/>
      <c r="F95" s="4">
        <f>IF($E95="","",IFERROR(VLOOKUP($E95,AKUN!$A$2:$B$200,2,FALSE),"Kode tidak ditemukan"))</f>
        <v/>
      </c>
      <c r="G95" s="4" t="n"/>
      <c r="H95" s="9" t="n"/>
      <c r="I95" s="9" t="n"/>
      <c r="J95" s="18">
        <f>IF($B95="","",MONTH($B95))</f>
        <v/>
      </c>
      <c r="K95" s="18">
        <f>IF($B95="","",YEAR($B95))</f>
        <v/>
      </c>
    </row>
    <row r="96">
      <c r="A96" s="13">
        <f>IF($B96="","",ROW()-9)</f>
        <v/>
      </c>
      <c r="B96" s="14" t="n"/>
      <c r="C96" s="15" t="n"/>
      <c r="D96" s="15" t="n"/>
      <c r="E96" s="15" t="n"/>
      <c r="F96" s="15">
        <f>IF($E96="","",IFERROR(VLOOKUP($E96,AKUN!$A$2:$B$200,2,FALSE),"Kode tidak ditemukan"))</f>
        <v/>
      </c>
      <c r="G96" s="15" t="n"/>
      <c r="H96" s="17" t="n"/>
      <c r="I96" s="17" t="n"/>
      <c r="J96" s="13">
        <f>IF($B96="","",MONTH($B96))</f>
        <v/>
      </c>
      <c r="K96" s="13">
        <f>IF($B96="","",YEAR($B96))</f>
        <v/>
      </c>
    </row>
    <row r="97">
      <c r="A97" s="18">
        <f>IF($B97="","",ROW()-9)</f>
        <v/>
      </c>
      <c r="B97" s="19" t="n"/>
      <c r="C97" s="4" t="n"/>
      <c r="D97" s="4" t="n"/>
      <c r="E97" s="4" t="n"/>
      <c r="F97" s="4">
        <f>IF($E97="","",IFERROR(VLOOKUP($E97,AKUN!$A$2:$B$200,2,FALSE),"Kode tidak ditemukan"))</f>
        <v/>
      </c>
      <c r="G97" s="4" t="n"/>
      <c r="H97" s="9" t="n"/>
      <c r="I97" s="9" t="n"/>
      <c r="J97" s="18">
        <f>IF($B97="","",MONTH($B97))</f>
        <v/>
      </c>
      <c r="K97" s="18">
        <f>IF($B97="","",YEAR($B97))</f>
        <v/>
      </c>
    </row>
    <row r="98">
      <c r="A98" s="13">
        <f>IF($B98="","",ROW()-9)</f>
        <v/>
      </c>
      <c r="B98" s="14" t="n"/>
      <c r="C98" s="15" t="n"/>
      <c r="D98" s="15" t="n"/>
      <c r="E98" s="15" t="n"/>
      <c r="F98" s="15">
        <f>IF($E98="","",IFERROR(VLOOKUP($E98,AKUN!$A$2:$B$200,2,FALSE),"Kode tidak ditemukan"))</f>
        <v/>
      </c>
      <c r="G98" s="15" t="n"/>
      <c r="H98" s="17" t="n"/>
      <c r="I98" s="17" t="n"/>
      <c r="J98" s="13">
        <f>IF($B98="","",MONTH($B98))</f>
        <v/>
      </c>
      <c r="K98" s="13">
        <f>IF($B98="","",YEAR($B98))</f>
        <v/>
      </c>
    </row>
    <row r="99">
      <c r="A99" s="18">
        <f>IF($B99="","",ROW()-9)</f>
        <v/>
      </c>
      <c r="B99" s="19" t="n"/>
      <c r="C99" s="4" t="n"/>
      <c r="D99" s="4" t="n"/>
      <c r="E99" s="4" t="n"/>
      <c r="F99" s="4">
        <f>IF($E99="","",IFERROR(VLOOKUP($E99,AKUN!$A$2:$B$200,2,FALSE),"Kode tidak ditemukan"))</f>
        <v/>
      </c>
      <c r="G99" s="4" t="n"/>
      <c r="H99" s="9" t="n"/>
      <c r="I99" s="9" t="n"/>
      <c r="J99" s="18">
        <f>IF($B99="","",MONTH($B99))</f>
        <v/>
      </c>
      <c r="K99" s="18">
        <f>IF($B99="","",YEAR($B99))</f>
        <v/>
      </c>
    </row>
    <row r="100">
      <c r="A100" s="13">
        <f>IF($B100="","",ROW()-9)</f>
        <v/>
      </c>
      <c r="B100" s="14" t="n"/>
      <c r="C100" s="15" t="n"/>
      <c r="D100" s="15" t="n"/>
      <c r="E100" s="15" t="n"/>
      <c r="F100" s="15">
        <f>IF($E100="","",IFERROR(VLOOKUP($E100,AKUN!$A$2:$B$200,2,FALSE),"Kode tidak ditemukan"))</f>
        <v/>
      </c>
      <c r="G100" s="15" t="n"/>
      <c r="H100" s="17" t="n"/>
      <c r="I100" s="17" t="n"/>
      <c r="J100" s="13">
        <f>IF($B100="","",MONTH($B100))</f>
        <v/>
      </c>
      <c r="K100" s="13">
        <f>IF($B100="","",YEAR($B100))</f>
        <v/>
      </c>
    </row>
    <row r="101">
      <c r="A101" s="18">
        <f>IF($B101="","",ROW()-9)</f>
        <v/>
      </c>
      <c r="B101" s="19" t="n"/>
      <c r="C101" s="4" t="n"/>
      <c r="D101" s="4" t="n"/>
      <c r="E101" s="4" t="n"/>
      <c r="F101" s="4">
        <f>IF($E101="","",IFERROR(VLOOKUP($E101,AKUN!$A$2:$B$200,2,FALSE),"Kode tidak ditemukan"))</f>
        <v/>
      </c>
      <c r="G101" s="4" t="n"/>
      <c r="H101" s="9" t="n"/>
      <c r="I101" s="9" t="n"/>
      <c r="J101" s="18">
        <f>IF($B101="","",MONTH($B101))</f>
        <v/>
      </c>
      <c r="K101" s="18">
        <f>IF($B101="","",YEAR($B101))</f>
        <v/>
      </c>
    </row>
    <row r="102">
      <c r="A102" s="13">
        <f>IF($B102="","",ROW()-9)</f>
        <v/>
      </c>
      <c r="B102" s="14" t="n"/>
      <c r="C102" s="15" t="n"/>
      <c r="D102" s="15" t="n"/>
      <c r="E102" s="15" t="n"/>
      <c r="F102" s="15">
        <f>IF($E102="","",IFERROR(VLOOKUP($E102,AKUN!$A$2:$B$200,2,FALSE),"Kode tidak ditemukan"))</f>
        <v/>
      </c>
      <c r="G102" s="15" t="n"/>
      <c r="H102" s="17" t="n"/>
      <c r="I102" s="17" t="n"/>
      <c r="J102" s="13">
        <f>IF($B102="","",MONTH($B102))</f>
        <v/>
      </c>
      <c r="K102" s="13">
        <f>IF($B102="","",YEAR($B102))</f>
        <v/>
      </c>
    </row>
    <row r="103">
      <c r="A103" s="18">
        <f>IF($B103="","",ROW()-9)</f>
        <v/>
      </c>
      <c r="B103" s="19" t="n"/>
      <c r="C103" s="4" t="n"/>
      <c r="D103" s="4" t="n"/>
      <c r="E103" s="4" t="n"/>
      <c r="F103" s="4">
        <f>IF($E103="","",IFERROR(VLOOKUP($E103,AKUN!$A$2:$B$200,2,FALSE),"Kode tidak ditemukan"))</f>
        <v/>
      </c>
      <c r="G103" s="4" t="n"/>
      <c r="H103" s="9" t="n"/>
      <c r="I103" s="9" t="n"/>
      <c r="J103" s="18">
        <f>IF($B103="","",MONTH($B103))</f>
        <v/>
      </c>
      <c r="K103" s="18">
        <f>IF($B103="","",YEAR($B103))</f>
        <v/>
      </c>
    </row>
    <row r="104">
      <c r="A104" s="13">
        <f>IF($B104="","",ROW()-9)</f>
        <v/>
      </c>
      <c r="B104" s="14" t="n"/>
      <c r="C104" s="15" t="n"/>
      <c r="D104" s="15" t="n"/>
      <c r="E104" s="15" t="n"/>
      <c r="F104" s="15">
        <f>IF($E104="","",IFERROR(VLOOKUP($E104,AKUN!$A$2:$B$200,2,FALSE),"Kode tidak ditemukan"))</f>
        <v/>
      </c>
      <c r="G104" s="15" t="n"/>
      <c r="H104" s="17" t="n"/>
      <c r="I104" s="17" t="n"/>
      <c r="J104" s="13">
        <f>IF($B104="","",MONTH($B104))</f>
        <v/>
      </c>
      <c r="K104" s="13">
        <f>IF($B104="","",YEAR($B104))</f>
        <v/>
      </c>
    </row>
    <row r="105">
      <c r="A105" s="18">
        <f>IF($B105="","",ROW()-9)</f>
        <v/>
      </c>
      <c r="B105" s="19" t="n"/>
      <c r="C105" s="4" t="n"/>
      <c r="D105" s="4" t="n"/>
      <c r="E105" s="4" t="n"/>
      <c r="F105" s="4">
        <f>IF($E105="","",IFERROR(VLOOKUP($E105,AKUN!$A$2:$B$200,2,FALSE),"Kode tidak ditemukan"))</f>
        <v/>
      </c>
      <c r="G105" s="4" t="n"/>
      <c r="H105" s="9" t="n"/>
      <c r="I105" s="9" t="n"/>
      <c r="J105" s="18">
        <f>IF($B105="","",MONTH($B105))</f>
        <v/>
      </c>
      <c r="K105" s="18">
        <f>IF($B105="","",YEAR($B105))</f>
        <v/>
      </c>
    </row>
    <row r="106">
      <c r="A106" s="13">
        <f>IF($B106="","",ROW()-9)</f>
        <v/>
      </c>
      <c r="B106" s="14" t="n"/>
      <c r="C106" s="15" t="n"/>
      <c r="D106" s="15" t="n"/>
      <c r="E106" s="15" t="n"/>
      <c r="F106" s="15">
        <f>IF($E106="","",IFERROR(VLOOKUP($E106,AKUN!$A$2:$B$200,2,FALSE),"Kode tidak ditemukan"))</f>
        <v/>
      </c>
      <c r="G106" s="15" t="n"/>
      <c r="H106" s="17" t="n"/>
      <c r="I106" s="17" t="n"/>
      <c r="J106" s="13">
        <f>IF($B106="","",MONTH($B106))</f>
        <v/>
      </c>
      <c r="K106" s="13">
        <f>IF($B106="","",YEAR($B106))</f>
        <v/>
      </c>
    </row>
    <row r="107">
      <c r="A107" s="18">
        <f>IF($B107="","",ROW()-9)</f>
        <v/>
      </c>
      <c r="B107" s="19" t="n"/>
      <c r="C107" s="4" t="n"/>
      <c r="D107" s="4" t="n"/>
      <c r="E107" s="4" t="n"/>
      <c r="F107" s="4">
        <f>IF($E107="","",IFERROR(VLOOKUP($E107,AKUN!$A$2:$B$200,2,FALSE),"Kode tidak ditemukan"))</f>
        <v/>
      </c>
      <c r="G107" s="4" t="n"/>
      <c r="H107" s="9" t="n"/>
      <c r="I107" s="9" t="n"/>
      <c r="J107" s="18">
        <f>IF($B107="","",MONTH($B107))</f>
        <v/>
      </c>
      <c r="K107" s="18">
        <f>IF($B107="","",YEAR($B107))</f>
        <v/>
      </c>
    </row>
    <row r="108">
      <c r="A108" s="13">
        <f>IF($B108="","",ROW()-9)</f>
        <v/>
      </c>
      <c r="B108" s="14" t="n"/>
      <c r="C108" s="15" t="n"/>
      <c r="D108" s="15" t="n"/>
      <c r="E108" s="15" t="n"/>
      <c r="F108" s="15">
        <f>IF($E108="","",IFERROR(VLOOKUP($E108,AKUN!$A$2:$B$200,2,FALSE),"Kode tidak ditemukan"))</f>
        <v/>
      </c>
      <c r="G108" s="15" t="n"/>
      <c r="H108" s="17" t="n"/>
      <c r="I108" s="17" t="n"/>
      <c r="J108" s="13">
        <f>IF($B108="","",MONTH($B108))</f>
        <v/>
      </c>
      <c r="K108" s="13">
        <f>IF($B108="","",YEAR($B108))</f>
        <v/>
      </c>
    </row>
    <row r="109">
      <c r="A109" s="18">
        <f>IF($B109="","",ROW()-9)</f>
        <v/>
      </c>
      <c r="B109" s="19" t="n"/>
      <c r="C109" s="4" t="n"/>
      <c r="D109" s="4" t="n"/>
      <c r="E109" s="4" t="n"/>
      <c r="F109" s="4">
        <f>IF($E109="","",IFERROR(VLOOKUP($E109,AKUN!$A$2:$B$200,2,FALSE),"Kode tidak ditemukan"))</f>
        <v/>
      </c>
      <c r="G109" s="4" t="n"/>
      <c r="H109" s="9" t="n"/>
      <c r="I109" s="9" t="n"/>
      <c r="J109" s="18">
        <f>IF($B109="","",MONTH($B109))</f>
        <v/>
      </c>
      <c r="K109" s="18">
        <f>IF($B109="","",YEAR($B109))</f>
        <v/>
      </c>
    </row>
    <row r="110">
      <c r="A110" s="13">
        <f>IF($B110="","",ROW()-9)</f>
        <v/>
      </c>
      <c r="B110" s="14" t="n"/>
      <c r="C110" s="15" t="n"/>
      <c r="D110" s="15" t="n"/>
      <c r="E110" s="15" t="n"/>
      <c r="F110" s="15">
        <f>IF($E110="","",IFERROR(VLOOKUP($E110,AKUN!$A$2:$B$200,2,FALSE),"Kode tidak ditemukan"))</f>
        <v/>
      </c>
      <c r="G110" s="15" t="n"/>
      <c r="H110" s="17" t="n"/>
      <c r="I110" s="17" t="n"/>
      <c r="J110" s="13">
        <f>IF($B110="","",MONTH($B110))</f>
        <v/>
      </c>
      <c r="K110" s="13">
        <f>IF($B110="","",YEAR($B110))</f>
        <v/>
      </c>
    </row>
    <row r="111">
      <c r="A111" s="18">
        <f>IF($B111="","",ROW()-9)</f>
        <v/>
      </c>
      <c r="B111" s="19" t="n"/>
      <c r="C111" s="4" t="n"/>
      <c r="D111" s="4" t="n"/>
      <c r="E111" s="4" t="n"/>
      <c r="F111" s="4">
        <f>IF($E111="","",IFERROR(VLOOKUP($E111,AKUN!$A$2:$B$200,2,FALSE),"Kode tidak ditemukan"))</f>
        <v/>
      </c>
      <c r="G111" s="4" t="n"/>
      <c r="H111" s="9" t="n"/>
      <c r="I111" s="9" t="n"/>
      <c r="J111" s="18">
        <f>IF($B111="","",MONTH($B111))</f>
        <v/>
      </c>
      <c r="K111" s="18">
        <f>IF($B111="","",YEAR($B111))</f>
        <v/>
      </c>
    </row>
    <row r="112">
      <c r="A112" s="13">
        <f>IF($B112="","",ROW()-9)</f>
        <v/>
      </c>
      <c r="B112" s="14" t="n"/>
      <c r="C112" s="15" t="n"/>
      <c r="D112" s="15" t="n"/>
      <c r="E112" s="15" t="n"/>
      <c r="F112" s="15">
        <f>IF($E112="","",IFERROR(VLOOKUP($E112,AKUN!$A$2:$B$200,2,FALSE),"Kode tidak ditemukan"))</f>
        <v/>
      </c>
      <c r="G112" s="15" t="n"/>
      <c r="H112" s="17" t="n"/>
      <c r="I112" s="17" t="n"/>
      <c r="J112" s="13">
        <f>IF($B112="","",MONTH($B112))</f>
        <v/>
      </c>
      <c r="K112" s="13">
        <f>IF($B112="","",YEAR($B112))</f>
        <v/>
      </c>
    </row>
    <row r="113">
      <c r="A113" s="18">
        <f>IF($B113="","",ROW()-9)</f>
        <v/>
      </c>
      <c r="B113" s="19" t="n"/>
      <c r="C113" s="4" t="n"/>
      <c r="D113" s="4" t="n"/>
      <c r="E113" s="4" t="n"/>
      <c r="F113" s="4">
        <f>IF($E113="","",IFERROR(VLOOKUP($E113,AKUN!$A$2:$B$200,2,FALSE),"Kode tidak ditemukan"))</f>
        <v/>
      </c>
      <c r="G113" s="4" t="n"/>
      <c r="H113" s="9" t="n"/>
      <c r="I113" s="9" t="n"/>
      <c r="J113" s="18">
        <f>IF($B113="","",MONTH($B113))</f>
        <v/>
      </c>
      <c r="K113" s="18">
        <f>IF($B113="","",YEAR($B113))</f>
        <v/>
      </c>
    </row>
    <row r="114">
      <c r="A114" s="13">
        <f>IF($B114="","",ROW()-9)</f>
        <v/>
      </c>
      <c r="B114" s="14" t="n"/>
      <c r="C114" s="15" t="n"/>
      <c r="D114" s="15" t="n"/>
      <c r="E114" s="15" t="n"/>
      <c r="F114" s="15">
        <f>IF($E114="","",IFERROR(VLOOKUP($E114,AKUN!$A$2:$B$200,2,FALSE),"Kode tidak ditemukan"))</f>
        <v/>
      </c>
      <c r="G114" s="15" t="n"/>
      <c r="H114" s="17" t="n"/>
      <c r="I114" s="17" t="n"/>
      <c r="J114" s="13">
        <f>IF($B114="","",MONTH($B114))</f>
        <v/>
      </c>
      <c r="K114" s="13">
        <f>IF($B114="","",YEAR($B114))</f>
        <v/>
      </c>
    </row>
    <row r="115">
      <c r="A115" s="18">
        <f>IF($B115="","",ROW()-9)</f>
        <v/>
      </c>
      <c r="B115" s="19" t="n"/>
      <c r="C115" s="4" t="n"/>
      <c r="D115" s="4" t="n"/>
      <c r="E115" s="4" t="n"/>
      <c r="F115" s="4">
        <f>IF($E115="","",IFERROR(VLOOKUP($E115,AKUN!$A$2:$B$200,2,FALSE),"Kode tidak ditemukan"))</f>
        <v/>
      </c>
      <c r="G115" s="4" t="n"/>
      <c r="H115" s="9" t="n"/>
      <c r="I115" s="9" t="n"/>
      <c r="J115" s="18">
        <f>IF($B115="","",MONTH($B115))</f>
        <v/>
      </c>
      <c r="K115" s="18">
        <f>IF($B115="","",YEAR($B115))</f>
        <v/>
      </c>
    </row>
    <row r="116">
      <c r="A116" s="13">
        <f>IF($B116="","",ROW()-9)</f>
        <v/>
      </c>
      <c r="B116" s="14" t="n"/>
      <c r="C116" s="15" t="n"/>
      <c r="D116" s="15" t="n"/>
      <c r="E116" s="15" t="n"/>
      <c r="F116" s="15">
        <f>IF($E116="","",IFERROR(VLOOKUP($E116,AKUN!$A$2:$B$200,2,FALSE),"Kode tidak ditemukan"))</f>
        <v/>
      </c>
      <c r="G116" s="15" t="n"/>
      <c r="H116" s="17" t="n"/>
      <c r="I116" s="17" t="n"/>
      <c r="J116" s="13">
        <f>IF($B116="","",MONTH($B116))</f>
        <v/>
      </c>
      <c r="K116" s="13">
        <f>IF($B116="","",YEAR($B116))</f>
        <v/>
      </c>
    </row>
    <row r="117">
      <c r="A117" s="18">
        <f>IF($B117="","",ROW()-9)</f>
        <v/>
      </c>
      <c r="B117" s="19" t="n"/>
      <c r="C117" s="4" t="n"/>
      <c r="D117" s="4" t="n"/>
      <c r="E117" s="4" t="n"/>
      <c r="F117" s="4">
        <f>IF($E117="","",IFERROR(VLOOKUP($E117,AKUN!$A$2:$B$200,2,FALSE),"Kode tidak ditemukan"))</f>
        <v/>
      </c>
      <c r="G117" s="4" t="n"/>
      <c r="H117" s="9" t="n"/>
      <c r="I117" s="9" t="n"/>
      <c r="J117" s="18">
        <f>IF($B117="","",MONTH($B117))</f>
        <v/>
      </c>
      <c r="K117" s="18">
        <f>IF($B117="","",YEAR($B117))</f>
        <v/>
      </c>
    </row>
    <row r="118">
      <c r="A118" s="13">
        <f>IF($B118="","",ROW()-9)</f>
        <v/>
      </c>
      <c r="B118" s="14" t="n"/>
      <c r="C118" s="15" t="n"/>
      <c r="D118" s="15" t="n"/>
      <c r="E118" s="15" t="n"/>
      <c r="F118" s="15">
        <f>IF($E118="","",IFERROR(VLOOKUP($E118,AKUN!$A$2:$B$200,2,FALSE),"Kode tidak ditemukan"))</f>
        <v/>
      </c>
      <c r="G118" s="15" t="n"/>
      <c r="H118" s="17" t="n"/>
      <c r="I118" s="17" t="n"/>
      <c r="J118" s="13">
        <f>IF($B118="","",MONTH($B118))</f>
        <v/>
      </c>
      <c r="K118" s="13">
        <f>IF($B118="","",YEAR($B118))</f>
        <v/>
      </c>
    </row>
    <row r="119">
      <c r="A119" s="18">
        <f>IF($B119="","",ROW()-9)</f>
        <v/>
      </c>
      <c r="B119" s="19" t="n"/>
      <c r="C119" s="4" t="n"/>
      <c r="D119" s="4" t="n"/>
      <c r="E119" s="4" t="n"/>
      <c r="F119" s="4">
        <f>IF($E119="","",IFERROR(VLOOKUP($E119,AKUN!$A$2:$B$200,2,FALSE),"Kode tidak ditemukan"))</f>
        <v/>
      </c>
      <c r="G119" s="4" t="n"/>
      <c r="H119" s="9" t="n"/>
      <c r="I119" s="9" t="n"/>
      <c r="J119" s="18">
        <f>IF($B119="","",MONTH($B119))</f>
        <v/>
      </c>
      <c r="K119" s="18">
        <f>IF($B119="","",YEAR($B119))</f>
        <v/>
      </c>
    </row>
    <row r="120">
      <c r="A120" s="13">
        <f>IF($B120="","",ROW()-9)</f>
        <v/>
      </c>
      <c r="B120" s="14" t="n"/>
      <c r="C120" s="15" t="n"/>
      <c r="D120" s="15" t="n"/>
      <c r="E120" s="15" t="n"/>
      <c r="F120" s="15">
        <f>IF($E120="","",IFERROR(VLOOKUP($E120,AKUN!$A$2:$B$200,2,FALSE),"Kode tidak ditemukan"))</f>
        <v/>
      </c>
      <c r="G120" s="15" t="n"/>
      <c r="H120" s="17" t="n"/>
      <c r="I120" s="17" t="n"/>
      <c r="J120" s="13">
        <f>IF($B120="","",MONTH($B120))</f>
        <v/>
      </c>
      <c r="K120" s="13">
        <f>IF($B120="","",YEAR($B120))</f>
        <v/>
      </c>
    </row>
    <row r="121">
      <c r="A121" s="18">
        <f>IF($B121="","",ROW()-9)</f>
        <v/>
      </c>
      <c r="B121" s="19" t="n"/>
      <c r="C121" s="4" t="n"/>
      <c r="D121" s="4" t="n"/>
      <c r="E121" s="4" t="n"/>
      <c r="F121" s="4">
        <f>IF($E121="","",IFERROR(VLOOKUP($E121,AKUN!$A$2:$B$200,2,FALSE),"Kode tidak ditemukan"))</f>
        <v/>
      </c>
      <c r="G121" s="4" t="n"/>
      <c r="H121" s="9" t="n"/>
      <c r="I121" s="9" t="n"/>
      <c r="J121" s="18">
        <f>IF($B121="","",MONTH($B121))</f>
        <v/>
      </c>
      <c r="K121" s="18">
        <f>IF($B121="","",YEAR($B121))</f>
        <v/>
      </c>
    </row>
    <row r="122">
      <c r="A122" s="13">
        <f>IF($B122="","",ROW()-9)</f>
        <v/>
      </c>
      <c r="B122" s="14" t="n"/>
      <c r="C122" s="15" t="n"/>
      <c r="D122" s="15" t="n"/>
      <c r="E122" s="15" t="n"/>
      <c r="F122" s="15">
        <f>IF($E122="","",IFERROR(VLOOKUP($E122,AKUN!$A$2:$B$200,2,FALSE),"Kode tidak ditemukan"))</f>
        <v/>
      </c>
      <c r="G122" s="15" t="n"/>
      <c r="H122" s="17" t="n"/>
      <c r="I122" s="17" t="n"/>
      <c r="J122" s="13">
        <f>IF($B122="","",MONTH($B122))</f>
        <v/>
      </c>
      <c r="K122" s="13">
        <f>IF($B122="","",YEAR($B122))</f>
        <v/>
      </c>
    </row>
    <row r="123">
      <c r="A123" s="18">
        <f>IF($B123="","",ROW()-9)</f>
        <v/>
      </c>
      <c r="B123" s="19" t="n"/>
      <c r="C123" s="4" t="n"/>
      <c r="D123" s="4" t="n"/>
      <c r="E123" s="4" t="n"/>
      <c r="F123" s="4">
        <f>IF($E123="","",IFERROR(VLOOKUP($E123,AKUN!$A$2:$B$200,2,FALSE),"Kode tidak ditemukan"))</f>
        <v/>
      </c>
      <c r="G123" s="4" t="n"/>
      <c r="H123" s="9" t="n"/>
      <c r="I123" s="9" t="n"/>
      <c r="J123" s="18">
        <f>IF($B123="","",MONTH($B123))</f>
        <v/>
      </c>
      <c r="K123" s="18">
        <f>IF($B123="","",YEAR($B123))</f>
        <v/>
      </c>
    </row>
    <row r="124">
      <c r="A124" s="13">
        <f>IF($B124="","",ROW()-9)</f>
        <v/>
      </c>
      <c r="B124" s="14" t="n"/>
      <c r="C124" s="15" t="n"/>
      <c r="D124" s="15" t="n"/>
      <c r="E124" s="15" t="n"/>
      <c r="F124" s="15">
        <f>IF($E124="","",IFERROR(VLOOKUP($E124,AKUN!$A$2:$B$200,2,FALSE),"Kode tidak ditemukan"))</f>
        <v/>
      </c>
      <c r="G124" s="15" t="n"/>
      <c r="H124" s="17" t="n"/>
      <c r="I124" s="17" t="n"/>
      <c r="J124" s="13">
        <f>IF($B124="","",MONTH($B124))</f>
        <v/>
      </c>
      <c r="K124" s="13">
        <f>IF($B124="","",YEAR($B124))</f>
        <v/>
      </c>
    </row>
    <row r="125">
      <c r="A125" s="18">
        <f>IF($B125="","",ROW()-9)</f>
        <v/>
      </c>
      <c r="B125" s="19" t="n"/>
      <c r="C125" s="4" t="n"/>
      <c r="D125" s="4" t="n"/>
      <c r="E125" s="4" t="n"/>
      <c r="F125" s="4">
        <f>IF($E125="","",IFERROR(VLOOKUP($E125,AKUN!$A$2:$B$200,2,FALSE),"Kode tidak ditemukan"))</f>
        <v/>
      </c>
      <c r="G125" s="4" t="n"/>
      <c r="H125" s="9" t="n"/>
      <c r="I125" s="9" t="n"/>
      <c r="J125" s="18">
        <f>IF($B125="","",MONTH($B125))</f>
        <v/>
      </c>
      <c r="K125" s="18">
        <f>IF($B125="","",YEAR($B125))</f>
        <v/>
      </c>
    </row>
    <row r="126">
      <c r="A126" s="13">
        <f>IF($B126="","",ROW()-9)</f>
        <v/>
      </c>
      <c r="B126" s="14" t="n"/>
      <c r="C126" s="15" t="n"/>
      <c r="D126" s="15" t="n"/>
      <c r="E126" s="15" t="n"/>
      <c r="F126" s="15">
        <f>IF($E126="","",IFERROR(VLOOKUP($E126,AKUN!$A$2:$B$200,2,FALSE),"Kode tidak ditemukan"))</f>
        <v/>
      </c>
      <c r="G126" s="15" t="n"/>
      <c r="H126" s="17" t="n"/>
      <c r="I126" s="17" t="n"/>
      <c r="J126" s="13">
        <f>IF($B126="","",MONTH($B126))</f>
        <v/>
      </c>
      <c r="K126" s="13">
        <f>IF($B126="","",YEAR($B126))</f>
        <v/>
      </c>
    </row>
    <row r="127">
      <c r="A127" s="18">
        <f>IF($B127="","",ROW()-9)</f>
        <v/>
      </c>
      <c r="B127" s="19" t="n"/>
      <c r="C127" s="4" t="n"/>
      <c r="D127" s="4" t="n"/>
      <c r="E127" s="4" t="n"/>
      <c r="F127" s="4">
        <f>IF($E127="","",IFERROR(VLOOKUP($E127,AKUN!$A$2:$B$200,2,FALSE),"Kode tidak ditemukan"))</f>
        <v/>
      </c>
      <c r="G127" s="4" t="n"/>
      <c r="H127" s="9" t="n"/>
      <c r="I127" s="9" t="n"/>
      <c r="J127" s="18">
        <f>IF($B127="","",MONTH($B127))</f>
        <v/>
      </c>
      <c r="K127" s="18">
        <f>IF($B127="","",YEAR($B127))</f>
        <v/>
      </c>
    </row>
    <row r="128">
      <c r="A128" s="13">
        <f>IF($B128="","",ROW()-9)</f>
        <v/>
      </c>
      <c r="B128" s="14" t="n"/>
      <c r="C128" s="15" t="n"/>
      <c r="D128" s="15" t="n"/>
      <c r="E128" s="15" t="n"/>
      <c r="F128" s="15">
        <f>IF($E128="","",IFERROR(VLOOKUP($E128,AKUN!$A$2:$B$200,2,FALSE),"Kode tidak ditemukan"))</f>
        <v/>
      </c>
      <c r="G128" s="15" t="n"/>
      <c r="H128" s="17" t="n"/>
      <c r="I128" s="17" t="n"/>
      <c r="J128" s="13">
        <f>IF($B128="","",MONTH($B128))</f>
        <v/>
      </c>
      <c r="K128" s="13">
        <f>IF($B128="","",YEAR($B128))</f>
        <v/>
      </c>
    </row>
    <row r="129">
      <c r="A129" s="18">
        <f>IF($B129="","",ROW()-9)</f>
        <v/>
      </c>
      <c r="B129" s="19" t="n"/>
      <c r="C129" s="4" t="n"/>
      <c r="D129" s="4" t="n"/>
      <c r="E129" s="4" t="n"/>
      <c r="F129" s="4">
        <f>IF($E129="","",IFERROR(VLOOKUP($E129,AKUN!$A$2:$B$200,2,FALSE),"Kode tidak ditemukan"))</f>
        <v/>
      </c>
      <c r="G129" s="4" t="n"/>
      <c r="H129" s="9" t="n"/>
      <c r="I129" s="9" t="n"/>
      <c r="J129" s="18">
        <f>IF($B129="","",MONTH($B129))</f>
        <v/>
      </c>
      <c r="K129" s="18">
        <f>IF($B129="","",YEAR($B129))</f>
        <v/>
      </c>
    </row>
    <row r="130">
      <c r="A130" s="13">
        <f>IF($B130="","",ROW()-9)</f>
        <v/>
      </c>
      <c r="B130" s="14" t="n"/>
      <c r="C130" s="15" t="n"/>
      <c r="D130" s="15" t="n"/>
      <c r="E130" s="15" t="n"/>
      <c r="F130" s="15">
        <f>IF($E130="","",IFERROR(VLOOKUP($E130,AKUN!$A$2:$B$200,2,FALSE),"Kode tidak ditemukan"))</f>
        <v/>
      </c>
      <c r="G130" s="15" t="n"/>
      <c r="H130" s="17" t="n"/>
      <c r="I130" s="17" t="n"/>
      <c r="J130" s="13">
        <f>IF($B130="","",MONTH($B130))</f>
        <v/>
      </c>
      <c r="K130" s="13">
        <f>IF($B130="","",YEAR($B130))</f>
        <v/>
      </c>
    </row>
    <row r="131">
      <c r="A131" s="18">
        <f>IF($B131="","",ROW()-9)</f>
        <v/>
      </c>
      <c r="B131" s="19" t="n"/>
      <c r="C131" s="4" t="n"/>
      <c r="D131" s="4" t="n"/>
      <c r="E131" s="4" t="n"/>
      <c r="F131" s="4">
        <f>IF($E131="","",IFERROR(VLOOKUP($E131,AKUN!$A$2:$B$200,2,FALSE),"Kode tidak ditemukan"))</f>
        <v/>
      </c>
      <c r="G131" s="4" t="n"/>
      <c r="H131" s="9" t="n"/>
      <c r="I131" s="9" t="n"/>
      <c r="J131" s="18">
        <f>IF($B131="","",MONTH($B131))</f>
        <v/>
      </c>
      <c r="K131" s="18">
        <f>IF($B131="","",YEAR($B131))</f>
        <v/>
      </c>
    </row>
    <row r="132">
      <c r="A132" s="13">
        <f>IF($B132="","",ROW()-9)</f>
        <v/>
      </c>
      <c r="B132" s="14" t="n"/>
      <c r="C132" s="15" t="n"/>
      <c r="D132" s="15" t="n"/>
      <c r="E132" s="15" t="n"/>
      <c r="F132" s="15">
        <f>IF($E132="","",IFERROR(VLOOKUP($E132,AKUN!$A$2:$B$200,2,FALSE),"Kode tidak ditemukan"))</f>
        <v/>
      </c>
      <c r="G132" s="15" t="n"/>
      <c r="H132" s="17" t="n"/>
      <c r="I132" s="17" t="n"/>
      <c r="J132" s="13">
        <f>IF($B132="","",MONTH($B132))</f>
        <v/>
      </c>
      <c r="K132" s="13">
        <f>IF($B132="","",YEAR($B132))</f>
        <v/>
      </c>
    </row>
    <row r="133">
      <c r="A133" s="18">
        <f>IF($B133="","",ROW()-9)</f>
        <v/>
      </c>
      <c r="B133" s="19" t="n"/>
      <c r="C133" s="4" t="n"/>
      <c r="D133" s="4" t="n"/>
      <c r="E133" s="4" t="n"/>
      <c r="F133" s="4">
        <f>IF($E133="","",IFERROR(VLOOKUP($E133,AKUN!$A$2:$B$200,2,FALSE),"Kode tidak ditemukan"))</f>
        <v/>
      </c>
      <c r="G133" s="4" t="n"/>
      <c r="H133" s="9" t="n"/>
      <c r="I133" s="9" t="n"/>
      <c r="J133" s="18">
        <f>IF($B133="","",MONTH($B133))</f>
        <v/>
      </c>
      <c r="K133" s="18">
        <f>IF($B133="","",YEAR($B133))</f>
        <v/>
      </c>
    </row>
    <row r="134">
      <c r="A134" s="13">
        <f>IF($B134="","",ROW()-9)</f>
        <v/>
      </c>
      <c r="B134" s="14" t="n"/>
      <c r="C134" s="15" t="n"/>
      <c r="D134" s="15" t="n"/>
      <c r="E134" s="15" t="n"/>
      <c r="F134" s="15">
        <f>IF($E134="","",IFERROR(VLOOKUP($E134,AKUN!$A$2:$B$200,2,FALSE),"Kode tidak ditemukan"))</f>
        <v/>
      </c>
      <c r="G134" s="15" t="n"/>
      <c r="H134" s="17" t="n"/>
      <c r="I134" s="17" t="n"/>
      <c r="J134" s="13">
        <f>IF($B134="","",MONTH($B134))</f>
        <v/>
      </c>
      <c r="K134" s="13">
        <f>IF($B134="","",YEAR($B134))</f>
        <v/>
      </c>
    </row>
    <row r="135">
      <c r="A135" s="18">
        <f>IF($B135="","",ROW()-9)</f>
        <v/>
      </c>
      <c r="B135" s="19" t="n"/>
      <c r="C135" s="4" t="n"/>
      <c r="D135" s="4" t="n"/>
      <c r="E135" s="4" t="n"/>
      <c r="F135" s="4">
        <f>IF($E135="","",IFERROR(VLOOKUP($E135,AKUN!$A$2:$B$200,2,FALSE),"Kode tidak ditemukan"))</f>
        <v/>
      </c>
      <c r="G135" s="4" t="n"/>
      <c r="H135" s="9" t="n"/>
      <c r="I135" s="9" t="n"/>
      <c r="J135" s="18">
        <f>IF($B135="","",MONTH($B135))</f>
        <v/>
      </c>
      <c r="K135" s="18">
        <f>IF($B135="","",YEAR($B135))</f>
        <v/>
      </c>
    </row>
    <row r="136">
      <c r="A136" s="13">
        <f>IF($B136="","",ROW()-9)</f>
        <v/>
      </c>
      <c r="B136" s="14" t="n"/>
      <c r="C136" s="15" t="n"/>
      <c r="D136" s="15" t="n"/>
      <c r="E136" s="15" t="n"/>
      <c r="F136" s="15">
        <f>IF($E136="","",IFERROR(VLOOKUP($E136,AKUN!$A$2:$B$200,2,FALSE),"Kode tidak ditemukan"))</f>
        <v/>
      </c>
      <c r="G136" s="15" t="n"/>
      <c r="H136" s="17" t="n"/>
      <c r="I136" s="17" t="n"/>
      <c r="J136" s="13">
        <f>IF($B136="","",MONTH($B136))</f>
        <v/>
      </c>
      <c r="K136" s="13">
        <f>IF($B136="","",YEAR($B136))</f>
        <v/>
      </c>
    </row>
    <row r="137">
      <c r="A137" s="18">
        <f>IF($B137="","",ROW()-9)</f>
        <v/>
      </c>
      <c r="B137" s="19" t="n"/>
      <c r="C137" s="4" t="n"/>
      <c r="D137" s="4" t="n"/>
      <c r="E137" s="4" t="n"/>
      <c r="F137" s="4">
        <f>IF($E137="","",IFERROR(VLOOKUP($E137,AKUN!$A$2:$B$200,2,FALSE),"Kode tidak ditemukan"))</f>
        <v/>
      </c>
      <c r="G137" s="4" t="n"/>
      <c r="H137" s="9" t="n"/>
      <c r="I137" s="9" t="n"/>
      <c r="J137" s="18">
        <f>IF($B137="","",MONTH($B137))</f>
        <v/>
      </c>
      <c r="K137" s="18">
        <f>IF($B137="","",YEAR($B137))</f>
        <v/>
      </c>
    </row>
    <row r="138">
      <c r="A138" s="13">
        <f>IF($B138="","",ROW()-9)</f>
        <v/>
      </c>
      <c r="B138" s="14" t="n"/>
      <c r="C138" s="15" t="n"/>
      <c r="D138" s="15" t="n"/>
      <c r="E138" s="15" t="n"/>
      <c r="F138" s="15">
        <f>IF($E138="","",IFERROR(VLOOKUP($E138,AKUN!$A$2:$B$200,2,FALSE),"Kode tidak ditemukan"))</f>
        <v/>
      </c>
      <c r="G138" s="15" t="n"/>
      <c r="H138" s="17" t="n"/>
      <c r="I138" s="17" t="n"/>
      <c r="J138" s="13">
        <f>IF($B138="","",MONTH($B138))</f>
        <v/>
      </c>
      <c r="K138" s="13">
        <f>IF($B138="","",YEAR($B138))</f>
        <v/>
      </c>
    </row>
    <row r="139">
      <c r="A139" s="18">
        <f>IF($B139="","",ROW()-9)</f>
        <v/>
      </c>
      <c r="B139" s="19" t="n"/>
      <c r="C139" s="4" t="n"/>
      <c r="D139" s="4" t="n"/>
      <c r="E139" s="4" t="n"/>
      <c r="F139" s="4">
        <f>IF($E139="","",IFERROR(VLOOKUP($E139,AKUN!$A$2:$B$200,2,FALSE),"Kode tidak ditemukan"))</f>
        <v/>
      </c>
      <c r="G139" s="4" t="n"/>
      <c r="H139" s="9" t="n"/>
      <c r="I139" s="9" t="n"/>
      <c r="J139" s="18">
        <f>IF($B139="","",MONTH($B139))</f>
        <v/>
      </c>
      <c r="K139" s="18">
        <f>IF($B139="","",YEAR($B139))</f>
        <v/>
      </c>
    </row>
    <row r="140">
      <c r="A140" s="13">
        <f>IF($B140="","",ROW()-9)</f>
        <v/>
      </c>
      <c r="B140" s="14" t="n"/>
      <c r="C140" s="15" t="n"/>
      <c r="D140" s="15" t="n"/>
      <c r="E140" s="15" t="n"/>
      <c r="F140" s="15">
        <f>IF($E140="","",IFERROR(VLOOKUP($E140,AKUN!$A$2:$B$200,2,FALSE),"Kode tidak ditemukan"))</f>
        <v/>
      </c>
      <c r="G140" s="15" t="n"/>
      <c r="H140" s="17" t="n"/>
      <c r="I140" s="17" t="n"/>
      <c r="J140" s="13">
        <f>IF($B140="","",MONTH($B140))</f>
        <v/>
      </c>
      <c r="K140" s="13">
        <f>IF($B140="","",YEAR($B140))</f>
        <v/>
      </c>
    </row>
    <row r="141">
      <c r="A141" s="18">
        <f>IF($B141="","",ROW()-9)</f>
        <v/>
      </c>
      <c r="B141" s="19" t="n"/>
      <c r="C141" s="4" t="n"/>
      <c r="D141" s="4" t="n"/>
      <c r="E141" s="4" t="n"/>
      <c r="F141" s="4">
        <f>IF($E141="","",IFERROR(VLOOKUP($E141,AKUN!$A$2:$B$200,2,FALSE),"Kode tidak ditemukan"))</f>
        <v/>
      </c>
      <c r="G141" s="4" t="n"/>
      <c r="H141" s="9" t="n"/>
      <c r="I141" s="9" t="n"/>
      <c r="J141" s="18">
        <f>IF($B141="","",MONTH($B141))</f>
        <v/>
      </c>
      <c r="K141" s="18">
        <f>IF($B141="","",YEAR($B141))</f>
        <v/>
      </c>
    </row>
    <row r="142">
      <c r="A142" s="13">
        <f>IF($B142="","",ROW()-9)</f>
        <v/>
      </c>
      <c r="B142" s="14" t="n"/>
      <c r="C142" s="15" t="n"/>
      <c r="D142" s="15" t="n"/>
      <c r="E142" s="15" t="n"/>
      <c r="F142" s="15">
        <f>IF($E142="","",IFERROR(VLOOKUP($E142,AKUN!$A$2:$B$200,2,FALSE),"Kode tidak ditemukan"))</f>
        <v/>
      </c>
      <c r="G142" s="15" t="n"/>
      <c r="H142" s="17" t="n"/>
      <c r="I142" s="17" t="n"/>
      <c r="J142" s="13">
        <f>IF($B142="","",MONTH($B142))</f>
        <v/>
      </c>
      <c r="K142" s="13">
        <f>IF($B142="","",YEAR($B142))</f>
        <v/>
      </c>
    </row>
    <row r="143">
      <c r="A143" s="18">
        <f>IF($B143="","",ROW()-9)</f>
        <v/>
      </c>
      <c r="B143" s="19" t="n"/>
      <c r="C143" s="4" t="n"/>
      <c r="D143" s="4" t="n"/>
      <c r="E143" s="4" t="n"/>
      <c r="F143" s="4">
        <f>IF($E143="","",IFERROR(VLOOKUP($E143,AKUN!$A$2:$B$200,2,FALSE),"Kode tidak ditemukan"))</f>
        <v/>
      </c>
      <c r="G143" s="4" t="n"/>
      <c r="H143" s="9" t="n"/>
      <c r="I143" s="9" t="n"/>
      <c r="J143" s="18">
        <f>IF($B143="","",MONTH($B143))</f>
        <v/>
      </c>
      <c r="K143" s="18">
        <f>IF($B143="","",YEAR($B143))</f>
        <v/>
      </c>
    </row>
    <row r="144">
      <c r="A144" s="13">
        <f>IF($B144="","",ROW()-9)</f>
        <v/>
      </c>
      <c r="B144" s="14" t="n"/>
      <c r="C144" s="15" t="n"/>
      <c r="D144" s="15" t="n"/>
      <c r="E144" s="15" t="n"/>
      <c r="F144" s="15">
        <f>IF($E144="","",IFERROR(VLOOKUP($E144,AKUN!$A$2:$B$200,2,FALSE),"Kode tidak ditemukan"))</f>
        <v/>
      </c>
      <c r="G144" s="15" t="n"/>
      <c r="H144" s="17" t="n"/>
      <c r="I144" s="17" t="n"/>
      <c r="J144" s="13">
        <f>IF($B144="","",MONTH($B144))</f>
        <v/>
      </c>
      <c r="K144" s="13">
        <f>IF($B144="","",YEAR($B144))</f>
        <v/>
      </c>
    </row>
    <row r="145">
      <c r="A145" s="18">
        <f>IF($B145="","",ROW()-9)</f>
        <v/>
      </c>
      <c r="B145" s="19" t="n"/>
      <c r="C145" s="4" t="n"/>
      <c r="D145" s="4" t="n"/>
      <c r="E145" s="4" t="n"/>
      <c r="F145" s="4">
        <f>IF($E145="","",IFERROR(VLOOKUP($E145,AKUN!$A$2:$B$200,2,FALSE),"Kode tidak ditemukan"))</f>
        <v/>
      </c>
      <c r="G145" s="4" t="n"/>
      <c r="H145" s="9" t="n"/>
      <c r="I145" s="9" t="n"/>
      <c r="J145" s="18">
        <f>IF($B145="","",MONTH($B145))</f>
        <v/>
      </c>
      <c r="K145" s="18">
        <f>IF($B145="","",YEAR($B145))</f>
        <v/>
      </c>
    </row>
    <row r="146">
      <c r="A146" s="13">
        <f>IF($B146="","",ROW()-9)</f>
        <v/>
      </c>
      <c r="B146" s="14" t="n"/>
      <c r="C146" s="15" t="n"/>
      <c r="D146" s="15" t="n"/>
      <c r="E146" s="15" t="n"/>
      <c r="F146" s="15">
        <f>IF($E146="","",IFERROR(VLOOKUP($E146,AKUN!$A$2:$B$200,2,FALSE),"Kode tidak ditemukan"))</f>
        <v/>
      </c>
      <c r="G146" s="15" t="n"/>
      <c r="H146" s="17" t="n"/>
      <c r="I146" s="17" t="n"/>
      <c r="J146" s="13">
        <f>IF($B146="","",MONTH($B146))</f>
        <v/>
      </c>
      <c r="K146" s="13">
        <f>IF($B146="","",YEAR($B146))</f>
        <v/>
      </c>
    </row>
    <row r="147">
      <c r="A147" s="18">
        <f>IF($B147="","",ROW()-9)</f>
        <v/>
      </c>
      <c r="B147" s="19" t="n"/>
      <c r="C147" s="4" t="n"/>
      <c r="D147" s="4" t="n"/>
      <c r="E147" s="4" t="n"/>
      <c r="F147" s="4">
        <f>IF($E147="","",IFERROR(VLOOKUP($E147,AKUN!$A$2:$B$200,2,FALSE),"Kode tidak ditemukan"))</f>
        <v/>
      </c>
      <c r="G147" s="4" t="n"/>
      <c r="H147" s="9" t="n"/>
      <c r="I147" s="9" t="n"/>
      <c r="J147" s="18">
        <f>IF($B147="","",MONTH($B147))</f>
        <v/>
      </c>
      <c r="K147" s="18">
        <f>IF($B147="","",YEAR($B147))</f>
        <v/>
      </c>
    </row>
    <row r="148">
      <c r="A148" s="13">
        <f>IF($B148="","",ROW()-9)</f>
        <v/>
      </c>
      <c r="B148" s="14" t="n"/>
      <c r="C148" s="15" t="n"/>
      <c r="D148" s="15" t="n"/>
      <c r="E148" s="15" t="n"/>
      <c r="F148" s="15">
        <f>IF($E148="","",IFERROR(VLOOKUP($E148,AKUN!$A$2:$B$200,2,FALSE),"Kode tidak ditemukan"))</f>
        <v/>
      </c>
      <c r="G148" s="15" t="n"/>
      <c r="H148" s="17" t="n"/>
      <c r="I148" s="17" t="n"/>
      <c r="J148" s="13">
        <f>IF($B148="","",MONTH($B148))</f>
        <v/>
      </c>
      <c r="K148" s="13">
        <f>IF($B148="","",YEAR($B148))</f>
        <v/>
      </c>
    </row>
    <row r="149">
      <c r="A149" s="18">
        <f>IF($B149="","",ROW()-9)</f>
        <v/>
      </c>
      <c r="B149" s="19" t="n"/>
      <c r="C149" s="4" t="n"/>
      <c r="D149" s="4" t="n"/>
      <c r="E149" s="4" t="n"/>
      <c r="F149" s="4">
        <f>IF($E149="","",IFERROR(VLOOKUP($E149,AKUN!$A$2:$B$200,2,FALSE),"Kode tidak ditemukan"))</f>
        <v/>
      </c>
      <c r="G149" s="4" t="n"/>
      <c r="H149" s="9" t="n"/>
      <c r="I149" s="9" t="n"/>
      <c r="J149" s="18">
        <f>IF($B149="","",MONTH($B149))</f>
        <v/>
      </c>
      <c r="K149" s="18">
        <f>IF($B149="","",YEAR($B149))</f>
        <v/>
      </c>
    </row>
    <row r="150">
      <c r="A150" s="13">
        <f>IF($B150="","",ROW()-9)</f>
        <v/>
      </c>
      <c r="B150" s="14" t="n"/>
      <c r="C150" s="15" t="n"/>
      <c r="D150" s="15" t="n"/>
      <c r="E150" s="15" t="n"/>
      <c r="F150" s="15">
        <f>IF($E150="","",IFERROR(VLOOKUP($E150,AKUN!$A$2:$B$200,2,FALSE),"Kode tidak ditemukan"))</f>
        <v/>
      </c>
      <c r="G150" s="15" t="n"/>
      <c r="H150" s="17" t="n"/>
      <c r="I150" s="17" t="n"/>
      <c r="J150" s="13">
        <f>IF($B150="","",MONTH($B150))</f>
        <v/>
      </c>
      <c r="K150" s="13">
        <f>IF($B150="","",YEAR($B150))</f>
        <v/>
      </c>
    </row>
    <row r="151">
      <c r="A151" s="18">
        <f>IF($B151="","",ROW()-9)</f>
        <v/>
      </c>
      <c r="B151" s="19" t="n"/>
      <c r="C151" s="4" t="n"/>
      <c r="D151" s="4" t="n"/>
      <c r="E151" s="4" t="n"/>
      <c r="F151" s="4">
        <f>IF($E151="","",IFERROR(VLOOKUP($E151,AKUN!$A$2:$B$200,2,FALSE),"Kode tidak ditemukan"))</f>
        <v/>
      </c>
      <c r="G151" s="4" t="n"/>
      <c r="H151" s="9" t="n"/>
      <c r="I151" s="9" t="n"/>
      <c r="J151" s="18">
        <f>IF($B151="","",MONTH($B151))</f>
        <v/>
      </c>
      <c r="K151" s="18">
        <f>IF($B151="","",YEAR($B151))</f>
        <v/>
      </c>
    </row>
    <row r="152">
      <c r="A152" s="13">
        <f>IF($B152="","",ROW()-9)</f>
        <v/>
      </c>
      <c r="B152" s="14" t="n"/>
      <c r="C152" s="15" t="n"/>
      <c r="D152" s="15" t="n"/>
      <c r="E152" s="15" t="n"/>
      <c r="F152" s="15">
        <f>IF($E152="","",IFERROR(VLOOKUP($E152,AKUN!$A$2:$B$200,2,FALSE),"Kode tidak ditemukan"))</f>
        <v/>
      </c>
      <c r="G152" s="15" t="n"/>
      <c r="H152" s="17" t="n"/>
      <c r="I152" s="17" t="n"/>
      <c r="J152" s="13">
        <f>IF($B152="","",MONTH($B152))</f>
        <v/>
      </c>
      <c r="K152" s="13">
        <f>IF($B152="","",YEAR($B152))</f>
        <v/>
      </c>
    </row>
    <row r="153">
      <c r="A153" s="18">
        <f>IF($B153="","",ROW()-9)</f>
        <v/>
      </c>
      <c r="B153" s="19" t="n"/>
      <c r="C153" s="4" t="n"/>
      <c r="D153" s="4" t="n"/>
      <c r="E153" s="4" t="n"/>
      <c r="F153" s="4">
        <f>IF($E153="","",IFERROR(VLOOKUP($E153,AKUN!$A$2:$B$200,2,FALSE),"Kode tidak ditemukan"))</f>
        <v/>
      </c>
      <c r="G153" s="4" t="n"/>
      <c r="H153" s="9" t="n"/>
      <c r="I153" s="9" t="n"/>
      <c r="J153" s="18">
        <f>IF($B153="","",MONTH($B153))</f>
        <v/>
      </c>
      <c r="K153" s="18">
        <f>IF($B153="","",YEAR($B153))</f>
        <v/>
      </c>
    </row>
    <row r="154">
      <c r="A154" s="13">
        <f>IF($B154="","",ROW()-9)</f>
        <v/>
      </c>
      <c r="B154" s="14" t="n"/>
      <c r="C154" s="15" t="n"/>
      <c r="D154" s="15" t="n"/>
      <c r="E154" s="15" t="n"/>
      <c r="F154" s="15">
        <f>IF($E154="","",IFERROR(VLOOKUP($E154,AKUN!$A$2:$B$200,2,FALSE),"Kode tidak ditemukan"))</f>
        <v/>
      </c>
      <c r="G154" s="15" t="n"/>
      <c r="H154" s="17" t="n"/>
      <c r="I154" s="17" t="n"/>
      <c r="J154" s="13">
        <f>IF($B154="","",MONTH($B154))</f>
        <v/>
      </c>
      <c r="K154" s="13">
        <f>IF($B154="","",YEAR($B154))</f>
        <v/>
      </c>
    </row>
    <row r="155">
      <c r="A155" s="18">
        <f>IF($B155="","",ROW()-9)</f>
        <v/>
      </c>
      <c r="B155" s="19" t="n"/>
      <c r="C155" s="4" t="n"/>
      <c r="D155" s="4" t="n"/>
      <c r="E155" s="4" t="n"/>
      <c r="F155" s="4">
        <f>IF($E155="","",IFERROR(VLOOKUP($E155,AKUN!$A$2:$B$200,2,FALSE),"Kode tidak ditemukan"))</f>
        <v/>
      </c>
      <c r="G155" s="4" t="n"/>
      <c r="H155" s="9" t="n"/>
      <c r="I155" s="9" t="n"/>
      <c r="J155" s="18">
        <f>IF($B155="","",MONTH($B155))</f>
        <v/>
      </c>
      <c r="K155" s="18">
        <f>IF($B155="","",YEAR($B155))</f>
        <v/>
      </c>
    </row>
    <row r="156">
      <c r="A156" s="13">
        <f>IF($B156="","",ROW()-9)</f>
        <v/>
      </c>
      <c r="B156" s="14" t="n"/>
      <c r="C156" s="15" t="n"/>
      <c r="D156" s="15" t="n"/>
      <c r="E156" s="15" t="n"/>
      <c r="F156" s="15">
        <f>IF($E156="","",IFERROR(VLOOKUP($E156,AKUN!$A$2:$B$200,2,FALSE),"Kode tidak ditemukan"))</f>
        <v/>
      </c>
      <c r="G156" s="15" t="n"/>
      <c r="H156" s="17" t="n"/>
      <c r="I156" s="17" t="n"/>
      <c r="J156" s="13">
        <f>IF($B156="","",MONTH($B156))</f>
        <v/>
      </c>
      <c r="K156" s="13">
        <f>IF($B156="","",YEAR($B156))</f>
        <v/>
      </c>
    </row>
    <row r="157">
      <c r="A157" s="18">
        <f>IF($B157="","",ROW()-9)</f>
        <v/>
      </c>
      <c r="B157" s="19" t="n"/>
      <c r="C157" s="4" t="n"/>
      <c r="D157" s="4" t="n"/>
      <c r="E157" s="4" t="n"/>
      <c r="F157" s="4">
        <f>IF($E157="","",IFERROR(VLOOKUP($E157,AKUN!$A$2:$B$200,2,FALSE),"Kode tidak ditemukan"))</f>
        <v/>
      </c>
      <c r="G157" s="4" t="n"/>
      <c r="H157" s="9" t="n"/>
      <c r="I157" s="9" t="n"/>
      <c r="J157" s="18">
        <f>IF($B157="","",MONTH($B157))</f>
        <v/>
      </c>
      <c r="K157" s="18">
        <f>IF($B157="","",YEAR($B157))</f>
        <v/>
      </c>
    </row>
    <row r="158">
      <c r="A158" s="13">
        <f>IF($B158="","",ROW()-9)</f>
        <v/>
      </c>
      <c r="B158" s="14" t="n"/>
      <c r="C158" s="15" t="n"/>
      <c r="D158" s="15" t="n"/>
      <c r="E158" s="15" t="n"/>
      <c r="F158" s="15">
        <f>IF($E158="","",IFERROR(VLOOKUP($E158,AKUN!$A$2:$B$200,2,FALSE),"Kode tidak ditemukan"))</f>
        <v/>
      </c>
      <c r="G158" s="15" t="n"/>
      <c r="H158" s="17" t="n"/>
      <c r="I158" s="17" t="n"/>
      <c r="J158" s="13">
        <f>IF($B158="","",MONTH($B158))</f>
        <v/>
      </c>
      <c r="K158" s="13">
        <f>IF($B158="","",YEAR($B158))</f>
        <v/>
      </c>
    </row>
    <row r="159">
      <c r="A159" s="18">
        <f>IF($B159="","",ROW()-9)</f>
        <v/>
      </c>
      <c r="B159" s="19" t="n"/>
      <c r="C159" s="4" t="n"/>
      <c r="D159" s="4" t="n"/>
      <c r="E159" s="4" t="n"/>
      <c r="F159" s="4">
        <f>IF($E159="","",IFERROR(VLOOKUP($E159,AKUN!$A$2:$B$200,2,FALSE),"Kode tidak ditemukan"))</f>
        <v/>
      </c>
      <c r="G159" s="4" t="n"/>
      <c r="H159" s="9" t="n"/>
      <c r="I159" s="9" t="n"/>
      <c r="J159" s="18">
        <f>IF($B159="","",MONTH($B159))</f>
        <v/>
      </c>
      <c r="K159" s="18">
        <f>IF($B159="","",YEAR($B159))</f>
        <v/>
      </c>
    </row>
    <row r="160">
      <c r="A160" s="13">
        <f>IF($B160="","",ROW()-9)</f>
        <v/>
      </c>
      <c r="B160" s="14" t="n"/>
      <c r="C160" s="15" t="n"/>
      <c r="D160" s="15" t="n"/>
      <c r="E160" s="15" t="n"/>
      <c r="F160" s="15">
        <f>IF($E160="","",IFERROR(VLOOKUP($E160,AKUN!$A$2:$B$200,2,FALSE),"Kode tidak ditemukan"))</f>
        <v/>
      </c>
      <c r="G160" s="15" t="n"/>
      <c r="H160" s="17" t="n"/>
      <c r="I160" s="17" t="n"/>
      <c r="J160" s="13">
        <f>IF($B160="","",MONTH($B160))</f>
        <v/>
      </c>
      <c r="K160" s="13">
        <f>IF($B160="","",YEAR($B160))</f>
        <v/>
      </c>
    </row>
    <row r="161">
      <c r="A161" s="18">
        <f>IF($B161="","",ROW()-9)</f>
        <v/>
      </c>
      <c r="B161" s="19" t="n"/>
      <c r="C161" s="4" t="n"/>
      <c r="D161" s="4" t="n"/>
      <c r="E161" s="4" t="n"/>
      <c r="F161" s="4">
        <f>IF($E161="","",IFERROR(VLOOKUP($E161,AKUN!$A$2:$B$200,2,FALSE),"Kode tidak ditemukan"))</f>
        <v/>
      </c>
      <c r="G161" s="4" t="n"/>
      <c r="H161" s="9" t="n"/>
      <c r="I161" s="9" t="n"/>
      <c r="J161" s="18">
        <f>IF($B161="","",MONTH($B161))</f>
        <v/>
      </c>
      <c r="K161" s="18">
        <f>IF($B161="","",YEAR($B161))</f>
        <v/>
      </c>
    </row>
    <row r="162">
      <c r="A162" s="13">
        <f>IF($B162="","",ROW()-9)</f>
        <v/>
      </c>
      <c r="B162" s="14" t="n"/>
      <c r="C162" s="15" t="n"/>
      <c r="D162" s="15" t="n"/>
      <c r="E162" s="15" t="n"/>
      <c r="F162" s="15">
        <f>IF($E162="","",IFERROR(VLOOKUP($E162,AKUN!$A$2:$B$200,2,FALSE),"Kode tidak ditemukan"))</f>
        <v/>
      </c>
      <c r="G162" s="15" t="n"/>
      <c r="H162" s="17" t="n"/>
      <c r="I162" s="17" t="n"/>
      <c r="J162" s="13">
        <f>IF($B162="","",MONTH($B162))</f>
        <v/>
      </c>
      <c r="K162" s="13">
        <f>IF($B162="","",YEAR($B162))</f>
        <v/>
      </c>
    </row>
    <row r="163">
      <c r="A163" s="18">
        <f>IF($B163="","",ROW()-9)</f>
        <v/>
      </c>
      <c r="B163" s="19" t="n"/>
      <c r="C163" s="4" t="n"/>
      <c r="D163" s="4" t="n"/>
      <c r="E163" s="4" t="n"/>
      <c r="F163" s="4">
        <f>IF($E163="","",IFERROR(VLOOKUP($E163,AKUN!$A$2:$B$200,2,FALSE),"Kode tidak ditemukan"))</f>
        <v/>
      </c>
      <c r="G163" s="4" t="n"/>
      <c r="H163" s="9" t="n"/>
      <c r="I163" s="9" t="n"/>
      <c r="J163" s="18">
        <f>IF($B163="","",MONTH($B163))</f>
        <v/>
      </c>
      <c r="K163" s="18">
        <f>IF($B163="","",YEAR($B163))</f>
        <v/>
      </c>
    </row>
    <row r="164">
      <c r="A164" s="13">
        <f>IF($B164="","",ROW()-9)</f>
        <v/>
      </c>
      <c r="B164" s="14" t="n"/>
      <c r="C164" s="15" t="n"/>
      <c r="D164" s="15" t="n"/>
      <c r="E164" s="15" t="n"/>
      <c r="F164" s="15">
        <f>IF($E164="","",IFERROR(VLOOKUP($E164,AKUN!$A$2:$B$200,2,FALSE),"Kode tidak ditemukan"))</f>
        <v/>
      </c>
      <c r="G164" s="15" t="n"/>
      <c r="H164" s="17" t="n"/>
      <c r="I164" s="17" t="n"/>
      <c r="J164" s="13">
        <f>IF($B164="","",MONTH($B164))</f>
        <v/>
      </c>
      <c r="K164" s="13">
        <f>IF($B164="","",YEAR($B164))</f>
        <v/>
      </c>
    </row>
    <row r="165">
      <c r="A165" s="18">
        <f>IF($B165="","",ROW()-9)</f>
        <v/>
      </c>
      <c r="B165" s="19" t="n"/>
      <c r="C165" s="4" t="n"/>
      <c r="D165" s="4" t="n"/>
      <c r="E165" s="4" t="n"/>
      <c r="F165" s="4">
        <f>IF($E165="","",IFERROR(VLOOKUP($E165,AKUN!$A$2:$B$200,2,FALSE),"Kode tidak ditemukan"))</f>
        <v/>
      </c>
      <c r="G165" s="4" t="n"/>
      <c r="H165" s="9" t="n"/>
      <c r="I165" s="9" t="n"/>
      <c r="J165" s="18">
        <f>IF($B165="","",MONTH($B165))</f>
        <v/>
      </c>
      <c r="K165" s="18">
        <f>IF($B165="","",YEAR($B165))</f>
        <v/>
      </c>
    </row>
    <row r="166">
      <c r="A166" s="13">
        <f>IF($B166="","",ROW()-9)</f>
        <v/>
      </c>
      <c r="B166" s="14" t="n"/>
      <c r="C166" s="15" t="n"/>
      <c r="D166" s="15" t="n"/>
      <c r="E166" s="15" t="n"/>
      <c r="F166" s="15">
        <f>IF($E166="","",IFERROR(VLOOKUP($E166,AKUN!$A$2:$B$200,2,FALSE),"Kode tidak ditemukan"))</f>
        <v/>
      </c>
      <c r="G166" s="15" t="n"/>
      <c r="H166" s="17" t="n"/>
      <c r="I166" s="17" t="n"/>
      <c r="J166" s="13">
        <f>IF($B166="","",MONTH($B166))</f>
        <v/>
      </c>
      <c r="K166" s="13">
        <f>IF($B166="","",YEAR($B166))</f>
        <v/>
      </c>
    </row>
    <row r="167">
      <c r="A167" s="18">
        <f>IF($B167="","",ROW()-9)</f>
        <v/>
      </c>
      <c r="B167" s="19" t="n"/>
      <c r="C167" s="4" t="n"/>
      <c r="D167" s="4" t="n"/>
      <c r="E167" s="4" t="n"/>
      <c r="F167" s="4">
        <f>IF($E167="","",IFERROR(VLOOKUP($E167,AKUN!$A$2:$B$200,2,FALSE),"Kode tidak ditemukan"))</f>
        <v/>
      </c>
      <c r="G167" s="4" t="n"/>
      <c r="H167" s="9" t="n"/>
      <c r="I167" s="9" t="n"/>
      <c r="J167" s="18">
        <f>IF($B167="","",MONTH($B167))</f>
        <v/>
      </c>
      <c r="K167" s="18">
        <f>IF($B167="","",YEAR($B167))</f>
        <v/>
      </c>
    </row>
    <row r="168">
      <c r="A168" s="13">
        <f>IF($B168="","",ROW()-9)</f>
        <v/>
      </c>
      <c r="B168" s="14" t="n"/>
      <c r="C168" s="15" t="n"/>
      <c r="D168" s="15" t="n"/>
      <c r="E168" s="15" t="n"/>
      <c r="F168" s="15">
        <f>IF($E168="","",IFERROR(VLOOKUP($E168,AKUN!$A$2:$B$200,2,FALSE),"Kode tidak ditemukan"))</f>
        <v/>
      </c>
      <c r="G168" s="15" t="n"/>
      <c r="H168" s="17" t="n"/>
      <c r="I168" s="17" t="n"/>
      <c r="J168" s="13">
        <f>IF($B168="","",MONTH($B168))</f>
        <v/>
      </c>
      <c r="K168" s="13">
        <f>IF($B168="","",YEAR($B168))</f>
        <v/>
      </c>
    </row>
    <row r="169">
      <c r="A169" s="18">
        <f>IF($B169="","",ROW()-9)</f>
        <v/>
      </c>
      <c r="B169" s="19" t="n"/>
      <c r="C169" s="4" t="n"/>
      <c r="D169" s="4" t="n"/>
      <c r="E169" s="4" t="n"/>
      <c r="F169" s="4">
        <f>IF($E169="","",IFERROR(VLOOKUP($E169,AKUN!$A$2:$B$200,2,FALSE),"Kode tidak ditemukan"))</f>
        <v/>
      </c>
      <c r="G169" s="4" t="n"/>
      <c r="H169" s="9" t="n"/>
      <c r="I169" s="9" t="n"/>
      <c r="J169" s="18">
        <f>IF($B169="","",MONTH($B169))</f>
        <v/>
      </c>
      <c r="K169" s="18">
        <f>IF($B169="","",YEAR($B169))</f>
        <v/>
      </c>
    </row>
    <row r="170">
      <c r="A170" s="13">
        <f>IF($B170="","",ROW()-9)</f>
        <v/>
      </c>
      <c r="B170" s="14" t="n"/>
      <c r="C170" s="15" t="n"/>
      <c r="D170" s="15" t="n"/>
      <c r="E170" s="15" t="n"/>
      <c r="F170" s="15">
        <f>IF($E170="","",IFERROR(VLOOKUP($E170,AKUN!$A$2:$B$200,2,FALSE),"Kode tidak ditemukan"))</f>
        <v/>
      </c>
      <c r="G170" s="15" t="n"/>
      <c r="H170" s="17" t="n"/>
      <c r="I170" s="17" t="n"/>
      <c r="J170" s="13">
        <f>IF($B170="","",MONTH($B170))</f>
        <v/>
      </c>
      <c r="K170" s="13">
        <f>IF($B170="","",YEAR($B170))</f>
        <v/>
      </c>
    </row>
    <row r="171">
      <c r="A171" s="18">
        <f>IF($B171="","",ROW()-9)</f>
        <v/>
      </c>
      <c r="B171" s="19" t="n"/>
      <c r="C171" s="4" t="n"/>
      <c r="D171" s="4" t="n"/>
      <c r="E171" s="4" t="n"/>
      <c r="F171" s="4">
        <f>IF($E171="","",IFERROR(VLOOKUP($E171,AKUN!$A$2:$B$200,2,FALSE),"Kode tidak ditemukan"))</f>
        <v/>
      </c>
      <c r="G171" s="4" t="n"/>
      <c r="H171" s="9" t="n"/>
      <c r="I171" s="9" t="n"/>
      <c r="J171" s="18">
        <f>IF($B171="","",MONTH($B171))</f>
        <v/>
      </c>
      <c r="K171" s="18">
        <f>IF($B171="","",YEAR($B171))</f>
        <v/>
      </c>
    </row>
    <row r="172">
      <c r="A172" s="13">
        <f>IF($B172="","",ROW()-9)</f>
        <v/>
      </c>
      <c r="B172" s="14" t="n"/>
      <c r="C172" s="15" t="n"/>
      <c r="D172" s="15" t="n"/>
      <c r="E172" s="15" t="n"/>
      <c r="F172" s="15">
        <f>IF($E172="","",IFERROR(VLOOKUP($E172,AKUN!$A$2:$B$200,2,FALSE),"Kode tidak ditemukan"))</f>
        <v/>
      </c>
      <c r="G172" s="15" t="n"/>
      <c r="H172" s="17" t="n"/>
      <c r="I172" s="17" t="n"/>
      <c r="J172" s="13">
        <f>IF($B172="","",MONTH($B172))</f>
        <v/>
      </c>
      <c r="K172" s="13">
        <f>IF($B172="","",YEAR($B172))</f>
        <v/>
      </c>
    </row>
    <row r="173">
      <c r="A173" s="18">
        <f>IF($B173="","",ROW()-9)</f>
        <v/>
      </c>
      <c r="B173" s="19" t="n"/>
      <c r="C173" s="4" t="n"/>
      <c r="D173" s="4" t="n"/>
      <c r="E173" s="4" t="n"/>
      <c r="F173" s="4">
        <f>IF($E173="","",IFERROR(VLOOKUP($E173,AKUN!$A$2:$B$200,2,FALSE),"Kode tidak ditemukan"))</f>
        <v/>
      </c>
      <c r="G173" s="4" t="n"/>
      <c r="H173" s="9" t="n"/>
      <c r="I173" s="9" t="n"/>
      <c r="J173" s="18">
        <f>IF($B173="","",MONTH($B173))</f>
        <v/>
      </c>
      <c r="K173" s="18">
        <f>IF($B173="","",YEAR($B173))</f>
        <v/>
      </c>
    </row>
    <row r="174">
      <c r="A174" s="13">
        <f>IF($B174="","",ROW()-9)</f>
        <v/>
      </c>
      <c r="B174" s="14" t="n"/>
      <c r="C174" s="15" t="n"/>
      <c r="D174" s="15" t="n"/>
      <c r="E174" s="15" t="n"/>
      <c r="F174" s="15">
        <f>IF($E174="","",IFERROR(VLOOKUP($E174,AKUN!$A$2:$B$200,2,FALSE),"Kode tidak ditemukan"))</f>
        <v/>
      </c>
      <c r="G174" s="15" t="n"/>
      <c r="H174" s="17" t="n"/>
      <c r="I174" s="17" t="n"/>
      <c r="J174" s="13">
        <f>IF($B174="","",MONTH($B174))</f>
        <v/>
      </c>
      <c r="K174" s="13">
        <f>IF($B174="","",YEAR($B174))</f>
        <v/>
      </c>
    </row>
    <row r="175">
      <c r="A175" s="18">
        <f>IF($B175="","",ROW()-9)</f>
        <v/>
      </c>
      <c r="B175" s="19" t="n"/>
      <c r="C175" s="4" t="n"/>
      <c r="D175" s="4" t="n"/>
      <c r="E175" s="4" t="n"/>
      <c r="F175" s="4">
        <f>IF($E175="","",IFERROR(VLOOKUP($E175,AKUN!$A$2:$B$200,2,FALSE),"Kode tidak ditemukan"))</f>
        <v/>
      </c>
      <c r="G175" s="4" t="n"/>
      <c r="H175" s="9" t="n"/>
      <c r="I175" s="9" t="n"/>
      <c r="J175" s="18">
        <f>IF($B175="","",MONTH($B175))</f>
        <v/>
      </c>
      <c r="K175" s="18">
        <f>IF($B175="","",YEAR($B175))</f>
        <v/>
      </c>
    </row>
    <row r="176">
      <c r="A176" s="13">
        <f>IF($B176="","",ROW()-9)</f>
        <v/>
      </c>
      <c r="B176" s="14" t="n"/>
      <c r="C176" s="15" t="n"/>
      <c r="D176" s="15" t="n"/>
      <c r="E176" s="15" t="n"/>
      <c r="F176" s="15">
        <f>IF($E176="","",IFERROR(VLOOKUP($E176,AKUN!$A$2:$B$200,2,FALSE),"Kode tidak ditemukan"))</f>
        <v/>
      </c>
      <c r="G176" s="15" t="n"/>
      <c r="H176" s="17" t="n"/>
      <c r="I176" s="17" t="n"/>
      <c r="J176" s="13">
        <f>IF($B176="","",MONTH($B176))</f>
        <v/>
      </c>
      <c r="K176" s="13">
        <f>IF($B176="","",YEAR($B176))</f>
        <v/>
      </c>
    </row>
    <row r="177">
      <c r="A177" s="18">
        <f>IF($B177="","",ROW()-9)</f>
        <v/>
      </c>
      <c r="B177" s="19" t="n"/>
      <c r="C177" s="4" t="n"/>
      <c r="D177" s="4" t="n"/>
      <c r="E177" s="4" t="n"/>
      <c r="F177" s="4">
        <f>IF($E177="","",IFERROR(VLOOKUP($E177,AKUN!$A$2:$B$200,2,FALSE),"Kode tidak ditemukan"))</f>
        <v/>
      </c>
      <c r="G177" s="4" t="n"/>
      <c r="H177" s="9" t="n"/>
      <c r="I177" s="9" t="n"/>
      <c r="J177" s="18">
        <f>IF($B177="","",MONTH($B177))</f>
        <v/>
      </c>
      <c r="K177" s="18">
        <f>IF($B177="","",YEAR($B177))</f>
        <v/>
      </c>
    </row>
    <row r="178">
      <c r="A178" s="13">
        <f>IF($B178="","",ROW()-9)</f>
        <v/>
      </c>
      <c r="B178" s="14" t="n"/>
      <c r="C178" s="15" t="n"/>
      <c r="D178" s="15" t="n"/>
      <c r="E178" s="15" t="n"/>
      <c r="F178" s="15">
        <f>IF($E178="","",IFERROR(VLOOKUP($E178,AKUN!$A$2:$B$200,2,FALSE),"Kode tidak ditemukan"))</f>
        <v/>
      </c>
      <c r="G178" s="15" t="n"/>
      <c r="H178" s="17" t="n"/>
      <c r="I178" s="17" t="n"/>
      <c r="J178" s="13">
        <f>IF($B178="","",MONTH($B178))</f>
        <v/>
      </c>
      <c r="K178" s="13">
        <f>IF($B178="","",YEAR($B178))</f>
        <v/>
      </c>
    </row>
    <row r="179">
      <c r="A179" s="18">
        <f>IF($B179="","",ROW()-9)</f>
        <v/>
      </c>
      <c r="B179" s="19" t="n"/>
      <c r="C179" s="4" t="n"/>
      <c r="D179" s="4" t="n"/>
      <c r="E179" s="4" t="n"/>
      <c r="F179" s="4">
        <f>IF($E179="","",IFERROR(VLOOKUP($E179,AKUN!$A$2:$B$200,2,FALSE),"Kode tidak ditemukan"))</f>
        <v/>
      </c>
      <c r="G179" s="4" t="n"/>
      <c r="H179" s="9" t="n"/>
      <c r="I179" s="9" t="n"/>
      <c r="J179" s="18">
        <f>IF($B179="","",MONTH($B179))</f>
        <v/>
      </c>
      <c r="K179" s="18">
        <f>IF($B179="","",YEAR($B179))</f>
        <v/>
      </c>
    </row>
    <row r="180">
      <c r="A180" s="13">
        <f>IF($B180="","",ROW()-9)</f>
        <v/>
      </c>
      <c r="B180" s="14" t="n"/>
      <c r="C180" s="15" t="n"/>
      <c r="D180" s="15" t="n"/>
      <c r="E180" s="15" t="n"/>
      <c r="F180" s="15">
        <f>IF($E180="","",IFERROR(VLOOKUP($E180,AKUN!$A$2:$B$200,2,FALSE),"Kode tidak ditemukan"))</f>
        <v/>
      </c>
      <c r="G180" s="15" t="n"/>
      <c r="H180" s="17" t="n"/>
      <c r="I180" s="17" t="n"/>
      <c r="J180" s="13">
        <f>IF($B180="","",MONTH($B180))</f>
        <v/>
      </c>
      <c r="K180" s="13">
        <f>IF($B180="","",YEAR($B180))</f>
        <v/>
      </c>
    </row>
    <row r="181">
      <c r="A181" s="18">
        <f>IF($B181="","",ROW()-9)</f>
        <v/>
      </c>
      <c r="B181" s="19" t="n"/>
      <c r="C181" s="4" t="n"/>
      <c r="D181" s="4" t="n"/>
      <c r="E181" s="4" t="n"/>
      <c r="F181" s="4">
        <f>IF($E181="","",IFERROR(VLOOKUP($E181,AKUN!$A$2:$B$200,2,FALSE),"Kode tidak ditemukan"))</f>
        <v/>
      </c>
      <c r="G181" s="4" t="n"/>
      <c r="H181" s="9" t="n"/>
      <c r="I181" s="9" t="n"/>
      <c r="J181" s="18">
        <f>IF($B181="","",MONTH($B181))</f>
        <v/>
      </c>
      <c r="K181" s="18">
        <f>IF($B181="","",YEAR($B181))</f>
        <v/>
      </c>
    </row>
    <row r="182">
      <c r="A182" s="13">
        <f>IF($B182="","",ROW()-9)</f>
        <v/>
      </c>
      <c r="B182" s="14" t="n"/>
      <c r="C182" s="15" t="n"/>
      <c r="D182" s="15" t="n"/>
      <c r="E182" s="15" t="n"/>
      <c r="F182" s="15">
        <f>IF($E182="","",IFERROR(VLOOKUP($E182,AKUN!$A$2:$B$200,2,FALSE),"Kode tidak ditemukan"))</f>
        <v/>
      </c>
      <c r="G182" s="15" t="n"/>
      <c r="H182" s="17" t="n"/>
      <c r="I182" s="17" t="n"/>
      <c r="J182" s="13">
        <f>IF($B182="","",MONTH($B182))</f>
        <v/>
      </c>
      <c r="K182" s="13">
        <f>IF($B182="","",YEAR($B182))</f>
        <v/>
      </c>
    </row>
    <row r="183">
      <c r="A183" s="18">
        <f>IF($B183="","",ROW()-9)</f>
        <v/>
      </c>
      <c r="B183" s="19" t="n"/>
      <c r="C183" s="4" t="n"/>
      <c r="D183" s="4" t="n"/>
      <c r="E183" s="4" t="n"/>
      <c r="F183" s="4">
        <f>IF($E183="","",IFERROR(VLOOKUP($E183,AKUN!$A$2:$B$200,2,FALSE),"Kode tidak ditemukan"))</f>
        <v/>
      </c>
      <c r="G183" s="4" t="n"/>
      <c r="H183" s="9" t="n"/>
      <c r="I183" s="9" t="n"/>
      <c r="J183" s="18">
        <f>IF($B183="","",MONTH($B183))</f>
        <v/>
      </c>
      <c r="K183" s="18">
        <f>IF($B183="","",YEAR($B183))</f>
        <v/>
      </c>
    </row>
    <row r="184">
      <c r="A184" s="13">
        <f>IF($B184="","",ROW()-9)</f>
        <v/>
      </c>
      <c r="B184" s="14" t="n"/>
      <c r="C184" s="15" t="n"/>
      <c r="D184" s="15" t="n"/>
      <c r="E184" s="15" t="n"/>
      <c r="F184" s="15">
        <f>IF($E184="","",IFERROR(VLOOKUP($E184,AKUN!$A$2:$B$200,2,FALSE),"Kode tidak ditemukan"))</f>
        <v/>
      </c>
      <c r="G184" s="15" t="n"/>
      <c r="H184" s="17" t="n"/>
      <c r="I184" s="17" t="n"/>
      <c r="J184" s="13">
        <f>IF($B184="","",MONTH($B184))</f>
        <v/>
      </c>
      <c r="K184" s="13">
        <f>IF($B184="","",YEAR($B184))</f>
        <v/>
      </c>
    </row>
    <row r="185">
      <c r="A185" s="18">
        <f>IF($B185="","",ROW()-9)</f>
        <v/>
      </c>
      <c r="B185" s="19" t="n"/>
      <c r="C185" s="4" t="n"/>
      <c r="D185" s="4" t="n"/>
      <c r="E185" s="4" t="n"/>
      <c r="F185" s="4">
        <f>IF($E185="","",IFERROR(VLOOKUP($E185,AKUN!$A$2:$B$200,2,FALSE),"Kode tidak ditemukan"))</f>
        <v/>
      </c>
      <c r="G185" s="4" t="n"/>
      <c r="H185" s="9" t="n"/>
      <c r="I185" s="9" t="n"/>
      <c r="J185" s="18">
        <f>IF($B185="","",MONTH($B185))</f>
        <v/>
      </c>
      <c r="K185" s="18">
        <f>IF($B185="","",YEAR($B185))</f>
        <v/>
      </c>
    </row>
    <row r="186">
      <c r="A186" s="13">
        <f>IF($B186="","",ROW()-9)</f>
        <v/>
      </c>
      <c r="B186" s="14" t="n"/>
      <c r="C186" s="15" t="n"/>
      <c r="D186" s="15" t="n"/>
      <c r="E186" s="15" t="n"/>
      <c r="F186" s="15">
        <f>IF($E186="","",IFERROR(VLOOKUP($E186,AKUN!$A$2:$B$200,2,FALSE),"Kode tidak ditemukan"))</f>
        <v/>
      </c>
      <c r="G186" s="15" t="n"/>
      <c r="H186" s="17" t="n"/>
      <c r="I186" s="17" t="n"/>
      <c r="J186" s="13">
        <f>IF($B186="","",MONTH($B186))</f>
        <v/>
      </c>
      <c r="K186" s="13">
        <f>IF($B186="","",YEAR($B186))</f>
        <v/>
      </c>
    </row>
    <row r="187">
      <c r="A187" s="18">
        <f>IF($B187="","",ROW()-9)</f>
        <v/>
      </c>
      <c r="B187" s="19" t="n"/>
      <c r="C187" s="4" t="n"/>
      <c r="D187" s="4" t="n"/>
      <c r="E187" s="4" t="n"/>
      <c r="F187" s="4">
        <f>IF($E187="","",IFERROR(VLOOKUP($E187,AKUN!$A$2:$B$200,2,FALSE),"Kode tidak ditemukan"))</f>
        <v/>
      </c>
      <c r="G187" s="4" t="n"/>
      <c r="H187" s="9" t="n"/>
      <c r="I187" s="9" t="n"/>
      <c r="J187" s="18">
        <f>IF($B187="","",MONTH($B187))</f>
        <v/>
      </c>
      <c r="K187" s="18">
        <f>IF($B187="","",YEAR($B187))</f>
        <v/>
      </c>
    </row>
    <row r="188">
      <c r="A188" s="13">
        <f>IF($B188="","",ROW()-9)</f>
        <v/>
      </c>
      <c r="B188" s="14" t="n"/>
      <c r="C188" s="15" t="n"/>
      <c r="D188" s="15" t="n"/>
      <c r="E188" s="15" t="n"/>
      <c r="F188" s="15">
        <f>IF($E188="","",IFERROR(VLOOKUP($E188,AKUN!$A$2:$B$200,2,FALSE),"Kode tidak ditemukan"))</f>
        <v/>
      </c>
      <c r="G188" s="15" t="n"/>
      <c r="H188" s="17" t="n"/>
      <c r="I188" s="17" t="n"/>
      <c r="J188" s="13">
        <f>IF($B188="","",MONTH($B188))</f>
        <v/>
      </c>
      <c r="K188" s="13">
        <f>IF($B188="","",YEAR($B188))</f>
        <v/>
      </c>
    </row>
    <row r="189">
      <c r="A189" s="18">
        <f>IF($B189="","",ROW()-9)</f>
        <v/>
      </c>
      <c r="B189" s="19" t="n"/>
      <c r="C189" s="4" t="n"/>
      <c r="D189" s="4" t="n"/>
      <c r="E189" s="4" t="n"/>
      <c r="F189" s="4">
        <f>IF($E189="","",IFERROR(VLOOKUP($E189,AKUN!$A$2:$B$200,2,FALSE),"Kode tidak ditemukan"))</f>
        <v/>
      </c>
      <c r="G189" s="4" t="n"/>
      <c r="H189" s="9" t="n"/>
      <c r="I189" s="9" t="n"/>
      <c r="J189" s="18">
        <f>IF($B189="","",MONTH($B189))</f>
        <v/>
      </c>
      <c r="K189" s="18">
        <f>IF($B189="","",YEAR($B189))</f>
        <v/>
      </c>
    </row>
    <row r="190">
      <c r="A190" s="13">
        <f>IF($B190="","",ROW()-9)</f>
        <v/>
      </c>
      <c r="B190" s="14" t="n"/>
      <c r="C190" s="15" t="n"/>
      <c r="D190" s="15" t="n"/>
      <c r="E190" s="15" t="n"/>
      <c r="F190" s="15">
        <f>IF($E190="","",IFERROR(VLOOKUP($E190,AKUN!$A$2:$B$200,2,FALSE),"Kode tidak ditemukan"))</f>
        <v/>
      </c>
      <c r="G190" s="15" t="n"/>
      <c r="H190" s="17" t="n"/>
      <c r="I190" s="17" t="n"/>
      <c r="J190" s="13">
        <f>IF($B190="","",MONTH($B190))</f>
        <v/>
      </c>
      <c r="K190" s="13">
        <f>IF($B190="","",YEAR($B190))</f>
        <v/>
      </c>
    </row>
    <row r="191">
      <c r="A191" s="18">
        <f>IF($B191="","",ROW()-9)</f>
        <v/>
      </c>
      <c r="B191" s="19" t="n"/>
      <c r="C191" s="4" t="n"/>
      <c r="D191" s="4" t="n"/>
      <c r="E191" s="4" t="n"/>
      <c r="F191" s="4">
        <f>IF($E191="","",IFERROR(VLOOKUP($E191,AKUN!$A$2:$B$200,2,FALSE),"Kode tidak ditemukan"))</f>
        <v/>
      </c>
      <c r="G191" s="4" t="n"/>
      <c r="H191" s="9" t="n"/>
      <c r="I191" s="9" t="n"/>
      <c r="J191" s="18">
        <f>IF($B191="","",MONTH($B191))</f>
        <v/>
      </c>
      <c r="K191" s="18">
        <f>IF($B191="","",YEAR($B191))</f>
        <v/>
      </c>
    </row>
    <row r="192">
      <c r="A192" s="13">
        <f>IF($B192="","",ROW()-9)</f>
        <v/>
      </c>
      <c r="B192" s="14" t="n"/>
      <c r="C192" s="15" t="n"/>
      <c r="D192" s="15" t="n"/>
      <c r="E192" s="15" t="n"/>
      <c r="F192" s="15">
        <f>IF($E192="","",IFERROR(VLOOKUP($E192,AKUN!$A$2:$B$200,2,FALSE),"Kode tidak ditemukan"))</f>
        <v/>
      </c>
      <c r="G192" s="15" t="n"/>
      <c r="H192" s="17" t="n"/>
      <c r="I192" s="17" t="n"/>
      <c r="J192" s="13">
        <f>IF($B192="","",MONTH($B192))</f>
        <v/>
      </c>
      <c r="K192" s="13">
        <f>IF($B192="","",YEAR($B192))</f>
        <v/>
      </c>
    </row>
    <row r="193">
      <c r="A193" s="18">
        <f>IF($B193="","",ROW()-9)</f>
        <v/>
      </c>
      <c r="B193" s="19" t="n"/>
      <c r="C193" s="4" t="n"/>
      <c r="D193" s="4" t="n"/>
      <c r="E193" s="4" t="n"/>
      <c r="F193" s="4">
        <f>IF($E193="","",IFERROR(VLOOKUP($E193,AKUN!$A$2:$B$200,2,FALSE),"Kode tidak ditemukan"))</f>
        <v/>
      </c>
      <c r="G193" s="4" t="n"/>
      <c r="H193" s="9" t="n"/>
      <c r="I193" s="9" t="n"/>
      <c r="J193" s="18">
        <f>IF($B193="","",MONTH($B193))</f>
        <v/>
      </c>
      <c r="K193" s="18">
        <f>IF($B193="","",YEAR($B193))</f>
        <v/>
      </c>
    </row>
    <row r="194">
      <c r="A194" s="13">
        <f>IF($B194="","",ROW()-9)</f>
        <v/>
      </c>
      <c r="B194" s="14" t="n"/>
      <c r="C194" s="15" t="n"/>
      <c r="D194" s="15" t="n"/>
      <c r="E194" s="15" t="n"/>
      <c r="F194" s="15">
        <f>IF($E194="","",IFERROR(VLOOKUP($E194,AKUN!$A$2:$B$200,2,FALSE),"Kode tidak ditemukan"))</f>
        <v/>
      </c>
      <c r="G194" s="15" t="n"/>
      <c r="H194" s="17" t="n"/>
      <c r="I194" s="17" t="n"/>
      <c r="J194" s="13">
        <f>IF($B194="","",MONTH($B194))</f>
        <v/>
      </c>
      <c r="K194" s="13">
        <f>IF($B194="","",YEAR($B194))</f>
        <v/>
      </c>
    </row>
    <row r="195">
      <c r="A195" s="18">
        <f>IF($B195="","",ROW()-9)</f>
        <v/>
      </c>
      <c r="B195" s="19" t="n"/>
      <c r="C195" s="4" t="n"/>
      <c r="D195" s="4" t="n"/>
      <c r="E195" s="4" t="n"/>
      <c r="F195" s="4">
        <f>IF($E195="","",IFERROR(VLOOKUP($E195,AKUN!$A$2:$B$200,2,FALSE),"Kode tidak ditemukan"))</f>
        <v/>
      </c>
      <c r="G195" s="4" t="n"/>
      <c r="H195" s="9" t="n"/>
      <c r="I195" s="9" t="n"/>
      <c r="J195" s="18">
        <f>IF($B195="","",MONTH($B195))</f>
        <v/>
      </c>
      <c r="K195" s="18">
        <f>IF($B195="","",YEAR($B195))</f>
        <v/>
      </c>
    </row>
    <row r="196">
      <c r="A196" s="13">
        <f>IF($B196="","",ROW()-9)</f>
        <v/>
      </c>
      <c r="B196" s="14" t="n"/>
      <c r="C196" s="15" t="n"/>
      <c r="D196" s="15" t="n"/>
      <c r="E196" s="15" t="n"/>
      <c r="F196" s="15">
        <f>IF($E196="","",IFERROR(VLOOKUP($E196,AKUN!$A$2:$B$200,2,FALSE),"Kode tidak ditemukan"))</f>
        <v/>
      </c>
      <c r="G196" s="15" t="n"/>
      <c r="H196" s="17" t="n"/>
      <c r="I196" s="17" t="n"/>
      <c r="J196" s="13">
        <f>IF($B196="","",MONTH($B196))</f>
        <v/>
      </c>
      <c r="K196" s="13">
        <f>IF($B196="","",YEAR($B196))</f>
        <v/>
      </c>
    </row>
    <row r="197">
      <c r="A197" s="18">
        <f>IF($B197="","",ROW()-9)</f>
        <v/>
      </c>
      <c r="B197" s="19" t="n"/>
      <c r="C197" s="4" t="n"/>
      <c r="D197" s="4" t="n"/>
      <c r="E197" s="4" t="n"/>
      <c r="F197" s="4">
        <f>IF($E197="","",IFERROR(VLOOKUP($E197,AKUN!$A$2:$B$200,2,FALSE),"Kode tidak ditemukan"))</f>
        <v/>
      </c>
      <c r="G197" s="4" t="n"/>
      <c r="H197" s="9" t="n"/>
      <c r="I197" s="9" t="n"/>
      <c r="J197" s="18">
        <f>IF($B197="","",MONTH($B197))</f>
        <v/>
      </c>
      <c r="K197" s="18">
        <f>IF($B197="","",YEAR($B197))</f>
        <v/>
      </c>
    </row>
    <row r="198">
      <c r="A198" s="13">
        <f>IF($B198="","",ROW()-9)</f>
        <v/>
      </c>
      <c r="B198" s="14" t="n"/>
      <c r="C198" s="15" t="n"/>
      <c r="D198" s="15" t="n"/>
      <c r="E198" s="15" t="n"/>
      <c r="F198" s="15">
        <f>IF($E198="","",IFERROR(VLOOKUP($E198,AKUN!$A$2:$B$200,2,FALSE),"Kode tidak ditemukan"))</f>
        <v/>
      </c>
      <c r="G198" s="15" t="n"/>
      <c r="H198" s="17" t="n"/>
      <c r="I198" s="17" t="n"/>
      <c r="J198" s="13">
        <f>IF($B198="","",MONTH($B198))</f>
        <v/>
      </c>
      <c r="K198" s="13">
        <f>IF($B198="","",YEAR($B198))</f>
        <v/>
      </c>
    </row>
    <row r="199">
      <c r="A199" s="18">
        <f>IF($B199="","",ROW()-9)</f>
        <v/>
      </c>
      <c r="B199" s="19" t="n"/>
      <c r="C199" s="4" t="n"/>
      <c r="D199" s="4" t="n"/>
      <c r="E199" s="4" t="n"/>
      <c r="F199" s="4">
        <f>IF($E199="","",IFERROR(VLOOKUP($E199,AKUN!$A$2:$B$200,2,FALSE),"Kode tidak ditemukan"))</f>
        <v/>
      </c>
      <c r="G199" s="4" t="n"/>
      <c r="H199" s="9" t="n"/>
      <c r="I199" s="9" t="n"/>
      <c r="J199" s="18">
        <f>IF($B199="","",MONTH($B199))</f>
        <v/>
      </c>
      <c r="K199" s="18">
        <f>IF($B199="","",YEAR($B199))</f>
        <v/>
      </c>
    </row>
    <row r="200">
      <c r="A200" s="13">
        <f>IF($B200="","",ROW()-9)</f>
        <v/>
      </c>
      <c r="B200" s="14" t="n"/>
      <c r="C200" s="15" t="n"/>
      <c r="D200" s="15" t="n"/>
      <c r="E200" s="15" t="n"/>
      <c r="F200" s="15">
        <f>IF($E200="","",IFERROR(VLOOKUP($E200,AKUN!$A$2:$B$200,2,FALSE),"Kode tidak ditemukan"))</f>
        <v/>
      </c>
      <c r="G200" s="15" t="n"/>
      <c r="H200" s="17" t="n"/>
      <c r="I200" s="17" t="n"/>
      <c r="J200" s="13">
        <f>IF($B200="","",MONTH($B200))</f>
        <v/>
      </c>
      <c r="K200" s="13">
        <f>IF($B200="","",YEAR($B200))</f>
        <v/>
      </c>
    </row>
    <row r="201">
      <c r="A201" s="18">
        <f>IF($B201="","",ROW()-9)</f>
        <v/>
      </c>
      <c r="B201" s="19" t="n"/>
      <c r="C201" s="4" t="n"/>
      <c r="D201" s="4" t="n"/>
      <c r="E201" s="4" t="n"/>
      <c r="F201" s="4">
        <f>IF($E201="","",IFERROR(VLOOKUP($E201,AKUN!$A$2:$B$200,2,FALSE),"Kode tidak ditemukan"))</f>
        <v/>
      </c>
      <c r="G201" s="4" t="n"/>
      <c r="H201" s="9" t="n"/>
      <c r="I201" s="9" t="n"/>
      <c r="J201" s="18">
        <f>IF($B201="","",MONTH($B201))</f>
        <v/>
      </c>
      <c r="K201" s="18">
        <f>IF($B201="","",YEAR($B201))</f>
        <v/>
      </c>
    </row>
    <row r="202">
      <c r="A202" s="13">
        <f>IF($B202="","",ROW()-9)</f>
        <v/>
      </c>
      <c r="B202" s="14" t="n"/>
      <c r="C202" s="15" t="n"/>
      <c r="D202" s="15" t="n"/>
      <c r="E202" s="15" t="n"/>
      <c r="F202" s="15">
        <f>IF($E202="","",IFERROR(VLOOKUP($E202,AKUN!$A$2:$B$200,2,FALSE),"Kode tidak ditemukan"))</f>
        <v/>
      </c>
      <c r="G202" s="15" t="n"/>
      <c r="H202" s="17" t="n"/>
      <c r="I202" s="17" t="n"/>
      <c r="J202" s="13">
        <f>IF($B202="","",MONTH($B202))</f>
        <v/>
      </c>
      <c r="K202" s="13">
        <f>IF($B202="","",YEAR($B202))</f>
        <v/>
      </c>
    </row>
    <row r="203">
      <c r="A203" s="18">
        <f>IF($B203="","",ROW()-9)</f>
        <v/>
      </c>
      <c r="B203" s="19" t="n"/>
      <c r="C203" s="4" t="n"/>
      <c r="D203" s="4" t="n"/>
      <c r="E203" s="4" t="n"/>
      <c r="F203" s="4">
        <f>IF($E203="","",IFERROR(VLOOKUP($E203,AKUN!$A$2:$B$200,2,FALSE),"Kode tidak ditemukan"))</f>
        <v/>
      </c>
      <c r="G203" s="4" t="n"/>
      <c r="H203" s="9" t="n"/>
      <c r="I203" s="9" t="n"/>
      <c r="J203" s="18">
        <f>IF($B203="","",MONTH($B203))</f>
        <v/>
      </c>
      <c r="K203" s="18">
        <f>IF($B203="","",YEAR($B203))</f>
        <v/>
      </c>
    </row>
    <row r="204">
      <c r="A204" s="13">
        <f>IF($B204="","",ROW()-9)</f>
        <v/>
      </c>
      <c r="B204" s="14" t="n"/>
      <c r="C204" s="15" t="n"/>
      <c r="D204" s="15" t="n"/>
      <c r="E204" s="15" t="n"/>
      <c r="F204" s="15">
        <f>IF($E204="","",IFERROR(VLOOKUP($E204,AKUN!$A$2:$B$200,2,FALSE),"Kode tidak ditemukan"))</f>
        <v/>
      </c>
      <c r="G204" s="15" t="n"/>
      <c r="H204" s="17" t="n"/>
      <c r="I204" s="17" t="n"/>
      <c r="J204" s="13">
        <f>IF($B204="","",MONTH($B204))</f>
        <v/>
      </c>
      <c r="K204" s="13">
        <f>IF($B204="","",YEAR($B204))</f>
        <v/>
      </c>
    </row>
    <row r="205">
      <c r="A205" s="18">
        <f>IF($B205="","",ROW()-9)</f>
        <v/>
      </c>
      <c r="B205" s="19" t="n"/>
      <c r="C205" s="4" t="n"/>
      <c r="D205" s="4" t="n"/>
      <c r="E205" s="4" t="n"/>
      <c r="F205" s="4">
        <f>IF($E205="","",IFERROR(VLOOKUP($E205,AKUN!$A$2:$B$200,2,FALSE),"Kode tidak ditemukan"))</f>
        <v/>
      </c>
      <c r="G205" s="4" t="n"/>
      <c r="H205" s="9" t="n"/>
      <c r="I205" s="9" t="n"/>
      <c r="J205" s="18">
        <f>IF($B205="","",MONTH($B205))</f>
        <v/>
      </c>
      <c r="K205" s="18">
        <f>IF($B205="","",YEAR($B205))</f>
        <v/>
      </c>
    </row>
    <row r="206">
      <c r="A206" s="13">
        <f>IF($B206="","",ROW()-9)</f>
        <v/>
      </c>
      <c r="B206" s="14" t="n"/>
      <c r="C206" s="15" t="n"/>
      <c r="D206" s="15" t="n"/>
      <c r="E206" s="15" t="n"/>
      <c r="F206" s="15">
        <f>IF($E206="","",IFERROR(VLOOKUP($E206,AKUN!$A$2:$B$200,2,FALSE),"Kode tidak ditemukan"))</f>
        <v/>
      </c>
      <c r="G206" s="15" t="n"/>
      <c r="H206" s="17" t="n"/>
      <c r="I206" s="17" t="n"/>
      <c r="J206" s="13">
        <f>IF($B206="","",MONTH($B206))</f>
        <v/>
      </c>
      <c r="K206" s="13">
        <f>IF($B206="","",YEAR($B206))</f>
        <v/>
      </c>
    </row>
    <row r="207">
      <c r="A207" s="18">
        <f>IF($B207="","",ROW()-9)</f>
        <v/>
      </c>
      <c r="B207" s="19" t="n"/>
      <c r="C207" s="4" t="n"/>
      <c r="D207" s="4" t="n"/>
      <c r="E207" s="4" t="n"/>
      <c r="F207" s="4">
        <f>IF($E207="","",IFERROR(VLOOKUP($E207,AKUN!$A$2:$B$200,2,FALSE),"Kode tidak ditemukan"))</f>
        <v/>
      </c>
      <c r="G207" s="4" t="n"/>
      <c r="H207" s="9" t="n"/>
      <c r="I207" s="9" t="n"/>
      <c r="J207" s="18">
        <f>IF($B207="","",MONTH($B207))</f>
        <v/>
      </c>
      <c r="K207" s="18">
        <f>IF($B207="","",YEAR($B207))</f>
        <v/>
      </c>
    </row>
    <row r="208">
      <c r="A208" s="13">
        <f>IF($B208="","",ROW()-9)</f>
        <v/>
      </c>
      <c r="B208" s="14" t="n"/>
      <c r="C208" s="15" t="n"/>
      <c r="D208" s="15" t="n"/>
      <c r="E208" s="15" t="n"/>
      <c r="F208" s="15">
        <f>IF($E208="","",IFERROR(VLOOKUP($E208,AKUN!$A$2:$B$200,2,FALSE),"Kode tidak ditemukan"))</f>
        <v/>
      </c>
      <c r="G208" s="15" t="n"/>
      <c r="H208" s="17" t="n"/>
      <c r="I208" s="17" t="n"/>
      <c r="J208" s="13">
        <f>IF($B208="","",MONTH($B208))</f>
        <v/>
      </c>
      <c r="K208" s="13">
        <f>IF($B208="","",YEAR($B208))</f>
        <v/>
      </c>
    </row>
    <row r="209">
      <c r="A209" s="18">
        <f>IF($B209="","",ROW()-9)</f>
        <v/>
      </c>
      <c r="B209" s="19" t="n"/>
      <c r="C209" s="4" t="n"/>
      <c r="D209" s="4" t="n"/>
      <c r="E209" s="4" t="n"/>
      <c r="F209" s="4">
        <f>IF($E209="","",IFERROR(VLOOKUP($E209,AKUN!$A$2:$B$200,2,FALSE),"Kode tidak ditemukan"))</f>
        <v/>
      </c>
      <c r="G209" s="4" t="n"/>
      <c r="H209" s="9" t="n"/>
      <c r="I209" s="9" t="n"/>
      <c r="J209" s="18">
        <f>IF($B209="","",MONTH($B209))</f>
        <v/>
      </c>
      <c r="K209" s="18">
        <f>IF($B209="","",YEAR($B209))</f>
        <v/>
      </c>
    </row>
    <row r="210">
      <c r="A210" s="13">
        <f>IF($B210="","",ROW()-9)</f>
        <v/>
      </c>
      <c r="B210" s="14" t="n"/>
      <c r="C210" s="15" t="n"/>
      <c r="D210" s="15" t="n"/>
      <c r="E210" s="15" t="n"/>
      <c r="F210" s="15">
        <f>IF($E210="","",IFERROR(VLOOKUP($E210,AKUN!$A$2:$B$200,2,FALSE),"Kode tidak ditemukan"))</f>
        <v/>
      </c>
      <c r="G210" s="15" t="n"/>
      <c r="H210" s="17" t="n"/>
      <c r="I210" s="17" t="n"/>
      <c r="J210" s="13">
        <f>IF($B210="","",MONTH($B210))</f>
        <v/>
      </c>
      <c r="K210" s="13">
        <f>IF($B210="","",YEAR($B210))</f>
        <v/>
      </c>
    </row>
    <row r="211">
      <c r="A211" s="18">
        <f>IF($B211="","",ROW()-9)</f>
        <v/>
      </c>
      <c r="B211" s="19" t="n"/>
      <c r="C211" s="4" t="n"/>
      <c r="D211" s="4" t="n"/>
      <c r="E211" s="4" t="n"/>
      <c r="F211" s="4">
        <f>IF($E211="","",IFERROR(VLOOKUP($E211,AKUN!$A$2:$B$200,2,FALSE),"Kode tidak ditemukan"))</f>
        <v/>
      </c>
      <c r="G211" s="4" t="n"/>
      <c r="H211" s="9" t="n"/>
      <c r="I211" s="9" t="n"/>
      <c r="J211" s="18">
        <f>IF($B211="","",MONTH($B211))</f>
        <v/>
      </c>
      <c r="K211" s="18">
        <f>IF($B211="","",YEAR($B211))</f>
        <v/>
      </c>
    </row>
    <row r="212">
      <c r="A212" s="13">
        <f>IF($B212="","",ROW()-9)</f>
        <v/>
      </c>
      <c r="B212" s="14" t="n"/>
      <c r="C212" s="15" t="n"/>
      <c r="D212" s="15" t="n"/>
      <c r="E212" s="15" t="n"/>
      <c r="F212" s="15">
        <f>IF($E212="","",IFERROR(VLOOKUP($E212,AKUN!$A$2:$B$200,2,FALSE),"Kode tidak ditemukan"))</f>
        <v/>
      </c>
      <c r="G212" s="15" t="n"/>
      <c r="H212" s="17" t="n"/>
      <c r="I212" s="17" t="n"/>
      <c r="J212" s="13">
        <f>IF($B212="","",MONTH($B212))</f>
        <v/>
      </c>
      <c r="K212" s="13">
        <f>IF($B212="","",YEAR($B212))</f>
        <v/>
      </c>
    </row>
    <row r="213">
      <c r="A213" s="18">
        <f>IF($B213="","",ROW()-9)</f>
        <v/>
      </c>
      <c r="B213" s="19" t="n"/>
      <c r="C213" s="4" t="n"/>
      <c r="D213" s="4" t="n"/>
      <c r="E213" s="4" t="n"/>
      <c r="F213" s="4">
        <f>IF($E213="","",IFERROR(VLOOKUP($E213,AKUN!$A$2:$B$200,2,FALSE),"Kode tidak ditemukan"))</f>
        <v/>
      </c>
      <c r="G213" s="4" t="n"/>
      <c r="H213" s="9" t="n"/>
      <c r="I213" s="9" t="n"/>
      <c r="J213" s="18">
        <f>IF($B213="","",MONTH($B213))</f>
        <v/>
      </c>
      <c r="K213" s="18">
        <f>IF($B213="","",YEAR($B213))</f>
        <v/>
      </c>
    </row>
    <row r="214">
      <c r="A214" s="13">
        <f>IF($B214="","",ROW()-9)</f>
        <v/>
      </c>
      <c r="B214" s="14" t="n"/>
      <c r="C214" s="15" t="n"/>
      <c r="D214" s="15" t="n"/>
      <c r="E214" s="15" t="n"/>
      <c r="F214" s="15">
        <f>IF($E214="","",IFERROR(VLOOKUP($E214,AKUN!$A$2:$B$200,2,FALSE),"Kode tidak ditemukan"))</f>
        <v/>
      </c>
      <c r="G214" s="15" t="n"/>
      <c r="H214" s="17" t="n"/>
      <c r="I214" s="17" t="n"/>
      <c r="J214" s="13">
        <f>IF($B214="","",MONTH($B214))</f>
        <v/>
      </c>
      <c r="K214" s="13">
        <f>IF($B214="","",YEAR($B214))</f>
        <v/>
      </c>
    </row>
    <row r="215">
      <c r="A215" s="18">
        <f>IF($B215="","",ROW()-9)</f>
        <v/>
      </c>
      <c r="B215" s="19" t="n"/>
      <c r="C215" s="4" t="n"/>
      <c r="D215" s="4" t="n"/>
      <c r="E215" s="4" t="n"/>
      <c r="F215" s="4">
        <f>IF($E215="","",IFERROR(VLOOKUP($E215,AKUN!$A$2:$B$200,2,FALSE),"Kode tidak ditemukan"))</f>
        <v/>
      </c>
      <c r="G215" s="4" t="n"/>
      <c r="H215" s="9" t="n"/>
      <c r="I215" s="9" t="n"/>
      <c r="J215" s="18">
        <f>IF($B215="","",MONTH($B215))</f>
        <v/>
      </c>
      <c r="K215" s="18">
        <f>IF($B215="","",YEAR($B215))</f>
        <v/>
      </c>
    </row>
    <row r="216">
      <c r="A216" s="13">
        <f>IF($B216="","",ROW()-9)</f>
        <v/>
      </c>
      <c r="B216" s="14" t="n"/>
      <c r="C216" s="15" t="n"/>
      <c r="D216" s="15" t="n"/>
      <c r="E216" s="15" t="n"/>
      <c r="F216" s="15">
        <f>IF($E216="","",IFERROR(VLOOKUP($E216,AKUN!$A$2:$B$200,2,FALSE),"Kode tidak ditemukan"))</f>
        <v/>
      </c>
      <c r="G216" s="15" t="n"/>
      <c r="H216" s="17" t="n"/>
      <c r="I216" s="17" t="n"/>
      <c r="J216" s="13">
        <f>IF($B216="","",MONTH($B216))</f>
        <v/>
      </c>
      <c r="K216" s="13">
        <f>IF($B216="","",YEAR($B216))</f>
        <v/>
      </c>
    </row>
    <row r="217">
      <c r="A217" s="18">
        <f>IF($B217="","",ROW()-9)</f>
        <v/>
      </c>
      <c r="B217" s="19" t="n"/>
      <c r="C217" s="4" t="n"/>
      <c r="D217" s="4" t="n"/>
      <c r="E217" s="4" t="n"/>
      <c r="F217" s="4">
        <f>IF($E217="","",IFERROR(VLOOKUP($E217,AKUN!$A$2:$B$200,2,FALSE),"Kode tidak ditemukan"))</f>
        <v/>
      </c>
      <c r="G217" s="4" t="n"/>
      <c r="H217" s="9" t="n"/>
      <c r="I217" s="9" t="n"/>
      <c r="J217" s="18">
        <f>IF($B217="","",MONTH($B217))</f>
        <v/>
      </c>
      <c r="K217" s="18">
        <f>IF($B217="","",YEAR($B217))</f>
        <v/>
      </c>
    </row>
    <row r="218">
      <c r="A218" s="13">
        <f>IF($B218="","",ROW()-9)</f>
        <v/>
      </c>
      <c r="B218" s="14" t="n"/>
      <c r="C218" s="15" t="n"/>
      <c r="D218" s="15" t="n"/>
      <c r="E218" s="15" t="n"/>
      <c r="F218" s="15">
        <f>IF($E218="","",IFERROR(VLOOKUP($E218,AKUN!$A$2:$B$200,2,FALSE),"Kode tidak ditemukan"))</f>
        <v/>
      </c>
      <c r="G218" s="15" t="n"/>
      <c r="H218" s="17" t="n"/>
      <c r="I218" s="17" t="n"/>
      <c r="J218" s="13">
        <f>IF($B218="","",MONTH($B218))</f>
        <v/>
      </c>
      <c r="K218" s="13">
        <f>IF($B218="","",YEAR($B218))</f>
        <v/>
      </c>
    </row>
    <row r="219">
      <c r="A219" s="18">
        <f>IF($B219="","",ROW()-9)</f>
        <v/>
      </c>
      <c r="B219" s="19" t="n"/>
      <c r="C219" s="4" t="n"/>
      <c r="D219" s="4" t="n"/>
      <c r="E219" s="4" t="n"/>
      <c r="F219" s="4">
        <f>IF($E219="","",IFERROR(VLOOKUP($E219,AKUN!$A$2:$B$200,2,FALSE),"Kode tidak ditemukan"))</f>
        <v/>
      </c>
      <c r="G219" s="4" t="n"/>
      <c r="H219" s="9" t="n"/>
      <c r="I219" s="9" t="n"/>
      <c r="J219" s="18">
        <f>IF($B219="","",MONTH($B219))</f>
        <v/>
      </c>
      <c r="K219" s="18">
        <f>IF($B219="","",YEAR($B219))</f>
        <v/>
      </c>
    </row>
    <row r="220">
      <c r="A220" s="13">
        <f>IF($B220="","",ROW()-9)</f>
        <v/>
      </c>
      <c r="B220" s="14" t="n"/>
      <c r="C220" s="15" t="n"/>
      <c r="D220" s="15" t="n"/>
      <c r="E220" s="15" t="n"/>
      <c r="F220" s="15">
        <f>IF($E220="","",IFERROR(VLOOKUP($E220,AKUN!$A$2:$B$200,2,FALSE),"Kode tidak ditemukan"))</f>
        <v/>
      </c>
      <c r="G220" s="15" t="n"/>
      <c r="H220" s="17" t="n"/>
      <c r="I220" s="17" t="n"/>
      <c r="J220" s="13">
        <f>IF($B220="","",MONTH($B220))</f>
        <v/>
      </c>
      <c r="K220" s="13">
        <f>IF($B220="","",YEAR($B220))</f>
        <v/>
      </c>
    </row>
    <row r="221">
      <c r="A221" s="18">
        <f>IF($B221="","",ROW()-9)</f>
        <v/>
      </c>
      <c r="B221" s="19" t="n"/>
      <c r="C221" s="4" t="n"/>
      <c r="D221" s="4" t="n"/>
      <c r="E221" s="4" t="n"/>
      <c r="F221" s="4">
        <f>IF($E221="","",IFERROR(VLOOKUP($E221,AKUN!$A$2:$B$200,2,FALSE),"Kode tidak ditemukan"))</f>
        <v/>
      </c>
      <c r="G221" s="4" t="n"/>
      <c r="H221" s="9" t="n"/>
      <c r="I221" s="9" t="n"/>
      <c r="J221" s="18">
        <f>IF($B221="","",MONTH($B221))</f>
        <v/>
      </c>
      <c r="K221" s="18">
        <f>IF($B221="","",YEAR($B221))</f>
        <v/>
      </c>
    </row>
    <row r="222">
      <c r="A222" s="13">
        <f>IF($B222="","",ROW()-9)</f>
        <v/>
      </c>
      <c r="B222" s="14" t="n"/>
      <c r="C222" s="15" t="n"/>
      <c r="D222" s="15" t="n"/>
      <c r="E222" s="15" t="n"/>
      <c r="F222" s="15">
        <f>IF($E222="","",IFERROR(VLOOKUP($E222,AKUN!$A$2:$B$200,2,FALSE),"Kode tidak ditemukan"))</f>
        <v/>
      </c>
      <c r="G222" s="15" t="n"/>
      <c r="H222" s="17" t="n"/>
      <c r="I222" s="17" t="n"/>
      <c r="J222" s="13">
        <f>IF($B222="","",MONTH($B222))</f>
        <v/>
      </c>
      <c r="K222" s="13">
        <f>IF($B222="","",YEAR($B222))</f>
        <v/>
      </c>
    </row>
    <row r="223">
      <c r="A223" s="18">
        <f>IF($B223="","",ROW()-9)</f>
        <v/>
      </c>
      <c r="B223" s="19" t="n"/>
      <c r="C223" s="4" t="n"/>
      <c r="D223" s="4" t="n"/>
      <c r="E223" s="4" t="n"/>
      <c r="F223" s="4">
        <f>IF($E223="","",IFERROR(VLOOKUP($E223,AKUN!$A$2:$B$200,2,FALSE),"Kode tidak ditemukan"))</f>
        <v/>
      </c>
      <c r="G223" s="4" t="n"/>
      <c r="H223" s="9" t="n"/>
      <c r="I223" s="9" t="n"/>
      <c r="J223" s="18">
        <f>IF($B223="","",MONTH($B223))</f>
        <v/>
      </c>
      <c r="K223" s="18">
        <f>IF($B223="","",YEAR($B223))</f>
        <v/>
      </c>
    </row>
    <row r="224">
      <c r="A224" s="13">
        <f>IF($B224="","",ROW()-9)</f>
        <v/>
      </c>
      <c r="B224" s="14" t="n"/>
      <c r="C224" s="15" t="n"/>
      <c r="D224" s="15" t="n"/>
      <c r="E224" s="15" t="n"/>
      <c r="F224" s="15">
        <f>IF($E224="","",IFERROR(VLOOKUP($E224,AKUN!$A$2:$B$200,2,FALSE),"Kode tidak ditemukan"))</f>
        <v/>
      </c>
      <c r="G224" s="15" t="n"/>
      <c r="H224" s="17" t="n"/>
      <c r="I224" s="17" t="n"/>
      <c r="J224" s="13">
        <f>IF($B224="","",MONTH($B224))</f>
        <v/>
      </c>
      <c r="K224" s="13">
        <f>IF($B224="","",YEAR($B224))</f>
        <v/>
      </c>
    </row>
    <row r="225">
      <c r="A225" s="18">
        <f>IF($B225="","",ROW()-9)</f>
        <v/>
      </c>
      <c r="B225" s="19" t="n"/>
      <c r="C225" s="4" t="n"/>
      <c r="D225" s="4" t="n"/>
      <c r="E225" s="4" t="n"/>
      <c r="F225" s="4">
        <f>IF($E225="","",IFERROR(VLOOKUP($E225,AKUN!$A$2:$B$200,2,FALSE),"Kode tidak ditemukan"))</f>
        <v/>
      </c>
      <c r="G225" s="4" t="n"/>
      <c r="H225" s="9" t="n"/>
      <c r="I225" s="9" t="n"/>
      <c r="J225" s="18">
        <f>IF($B225="","",MONTH($B225))</f>
        <v/>
      </c>
      <c r="K225" s="18">
        <f>IF($B225="","",YEAR($B225))</f>
        <v/>
      </c>
    </row>
    <row r="226">
      <c r="A226" s="13">
        <f>IF($B226="","",ROW()-9)</f>
        <v/>
      </c>
      <c r="B226" s="14" t="n"/>
      <c r="C226" s="15" t="n"/>
      <c r="D226" s="15" t="n"/>
      <c r="E226" s="15" t="n"/>
      <c r="F226" s="15">
        <f>IF($E226="","",IFERROR(VLOOKUP($E226,AKUN!$A$2:$B$200,2,FALSE),"Kode tidak ditemukan"))</f>
        <v/>
      </c>
      <c r="G226" s="15" t="n"/>
      <c r="H226" s="17" t="n"/>
      <c r="I226" s="17" t="n"/>
      <c r="J226" s="13">
        <f>IF($B226="","",MONTH($B226))</f>
        <v/>
      </c>
      <c r="K226" s="13">
        <f>IF($B226="","",YEAR($B226))</f>
        <v/>
      </c>
    </row>
    <row r="227">
      <c r="A227" s="18">
        <f>IF($B227="","",ROW()-9)</f>
        <v/>
      </c>
      <c r="B227" s="19" t="n"/>
      <c r="C227" s="4" t="n"/>
      <c r="D227" s="4" t="n"/>
      <c r="E227" s="4" t="n"/>
      <c r="F227" s="4">
        <f>IF($E227="","",IFERROR(VLOOKUP($E227,AKUN!$A$2:$B$200,2,FALSE),"Kode tidak ditemukan"))</f>
        <v/>
      </c>
      <c r="G227" s="4" t="n"/>
      <c r="H227" s="9" t="n"/>
      <c r="I227" s="9" t="n"/>
      <c r="J227" s="18">
        <f>IF($B227="","",MONTH($B227))</f>
        <v/>
      </c>
      <c r="K227" s="18">
        <f>IF($B227="","",YEAR($B227))</f>
        <v/>
      </c>
    </row>
    <row r="228">
      <c r="A228" s="13">
        <f>IF($B228="","",ROW()-9)</f>
        <v/>
      </c>
      <c r="B228" s="14" t="n"/>
      <c r="C228" s="15" t="n"/>
      <c r="D228" s="15" t="n"/>
      <c r="E228" s="15" t="n"/>
      <c r="F228" s="15">
        <f>IF($E228="","",IFERROR(VLOOKUP($E228,AKUN!$A$2:$B$200,2,FALSE),"Kode tidak ditemukan"))</f>
        <v/>
      </c>
      <c r="G228" s="15" t="n"/>
      <c r="H228" s="17" t="n"/>
      <c r="I228" s="17" t="n"/>
      <c r="J228" s="13">
        <f>IF($B228="","",MONTH($B228))</f>
        <v/>
      </c>
      <c r="K228" s="13">
        <f>IF($B228="","",YEAR($B228))</f>
        <v/>
      </c>
    </row>
    <row r="229">
      <c r="A229" s="18">
        <f>IF($B229="","",ROW()-9)</f>
        <v/>
      </c>
      <c r="B229" s="19" t="n"/>
      <c r="C229" s="4" t="n"/>
      <c r="D229" s="4" t="n"/>
      <c r="E229" s="4" t="n"/>
      <c r="F229" s="4">
        <f>IF($E229="","",IFERROR(VLOOKUP($E229,AKUN!$A$2:$B$200,2,FALSE),"Kode tidak ditemukan"))</f>
        <v/>
      </c>
      <c r="G229" s="4" t="n"/>
      <c r="H229" s="9" t="n"/>
      <c r="I229" s="9" t="n"/>
      <c r="J229" s="18">
        <f>IF($B229="","",MONTH($B229))</f>
        <v/>
      </c>
      <c r="K229" s="18">
        <f>IF($B229="","",YEAR($B229))</f>
        <v/>
      </c>
    </row>
    <row r="230">
      <c r="A230" s="13">
        <f>IF($B230="","",ROW()-9)</f>
        <v/>
      </c>
      <c r="B230" s="14" t="n"/>
      <c r="C230" s="15" t="n"/>
      <c r="D230" s="15" t="n"/>
      <c r="E230" s="15" t="n"/>
      <c r="F230" s="15">
        <f>IF($E230="","",IFERROR(VLOOKUP($E230,AKUN!$A$2:$B$200,2,FALSE),"Kode tidak ditemukan"))</f>
        <v/>
      </c>
      <c r="G230" s="15" t="n"/>
      <c r="H230" s="17" t="n"/>
      <c r="I230" s="17" t="n"/>
      <c r="J230" s="13">
        <f>IF($B230="","",MONTH($B230))</f>
        <v/>
      </c>
      <c r="K230" s="13">
        <f>IF($B230="","",YEAR($B230))</f>
        <v/>
      </c>
    </row>
    <row r="231">
      <c r="A231" s="18">
        <f>IF($B231="","",ROW()-9)</f>
        <v/>
      </c>
      <c r="B231" s="19" t="n"/>
      <c r="C231" s="4" t="n"/>
      <c r="D231" s="4" t="n"/>
      <c r="E231" s="4" t="n"/>
      <c r="F231" s="4">
        <f>IF($E231="","",IFERROR(VLOOKUP($E231,AKUN!$A$2:$B$200,2,FALSE),"Kode tidak ditemukan"))</f>
        <v/>
      </c>
      <c r="G231" s="4" t="n"/>
      <c r="H231" s="9" t="n"/>
      <c r="I231" s="9" t="n"/>
      <c r="J231" s="18">
        <f>IF($B231="","",MONTH($B231))</f>
        <v/>
      </c>
      <c r="K231" s="18">
        <f>IF($B231="","",YEAR($B231))</f>
        <v/>
      </c>
    </row>
    <row r="232">
      <c r="A232" s="13">
        <f>IF($B232="","",ROW()-9)</f>
        <v/>
      </c>
      <c r="B232" s="14" t="n"/>
      <c r="C232" s="15" t="n"/>
      <c r="D232" s="15" t="n"/>
      <c r="E232" s="15" t="n"/>
      <c r="F232" s="15">
        <f>IF($E232="","",IFERROR(VLOOKUP($E232,AKUN!$A$2:$B$200,2,FALSE),"Kode tidak ditemukan"))</f>
        <v/>
      </c>
      <c r="G232" s="15" t="n"/>
      <c r="H232" s="17" t="n"/>
      <c r="I232" s="17" t="n"/>
      <c r="J232" s="13">
        <f>IF($B232="","",MONTH($B232))</f>
        <v/>
      </c>
      <c r="K232" s="13">
        <f>IF($B232="","",YEAR($B232))</f>
        <v/>
      </c>
    </row>
    <row r="233">
      <c r="A233" s="18">
        <f>IF($B233="","",ROW()-9)</f>
        <v/>
      </c>
      <c r="B233" s="19" t="n"/>
      <c r="C233" s="4" t="n"/>
      <c r="D233" s="4" t="n"/>
      <c r="E233" s="4" t="n"/>
      <c r="F233" s="4">
        <f>IF($E233="","",IFERROR(VLOOKUP($E233,AKUN!$A$2:$B$200,2,FALSE),"Kode tidak ditemukan"))</f>
        <v/>
      </c>
      <c r="G233" s="4" t="n"/>
      <c r="H233" s="9" t="n"/>
      <c r="I233" s="9" t="n"/>
      <c r="J233" s="18">
        <f>IF($B233="","",MONTH($B233))</f>
        <v/>
      </c>
      <c r="K233" s="18">
        <f>IF($B233="","",YEAR($B233))</f>
        <v/>
      </c>
    </row>
    <row r="234">
      <c r="A234" s="13">
        <f>IF($B234="","",ROW()-9)</f>
        <v/>
      </c>
      <c r="B234" s="14" t="n"/>
      <c r="C234" s="15" t="n"/>
      <c r="D234" s="15" t="n"/>
      <c r="E234" s="15" t="n"/>
      <c r="F234" s="15">
        <f>IF($E234="","",IFERROR(VLOOKUP($E234,AKUN!$A$2:$B$200,2,FALSE),"Kode tidak ditemukan"))</f>
        <v/>
      </c>
      <c r="G234" s="15" t="n"/>
      <c r="H234" s="17" t="n"/>
      <c r="I234" s="17" t="n"/>
      <c r="J234" s="13">
        <f>IF($B234="","",MONTH($B234))</f>
        <v/>
      </c>
      <c r="K234" s="13">
        <f>IF($B234="","",YEAR($B234))</f>
        <v/>
      </c>
    </row>
    <row r="235">
      <c r="A235" s="18">
        <f>IF($B235="","",ROW()-9)</f>
        <v/>
      </c>
      <c r="B235" s="19" t="n"/>
      <c r="C235" s="4" t="n"/>
      <c r="D235" s="4" t="n"/>
      <c r="E235" s="4" t="n"/>
      <c r="F235" s="4">
        <f>IF($E235="","",IFERROR(VLOOKUP($E235,AKUN!$A$2:$B$200,2,FALSE),"Kode tidak ditemukan"))</f>
        <v/>
      </c>
      <c r="G235" s="4" t="n"/>
      <c r="H235" s="9" t="n"/>
      <c r="I235" s="9" t="n"/>
      <c r="J235" s="18">
        <f>IF($B235="","",MONTH($B235))</f>
        <v/>
      </c>
      <c r="K235" s="18">
        <f>IF($B235="","",YEAR($B235))</f>
        <v/>
      </c>
    </row>
    <row r="236">
      <c r="A236" s="13">
        <f>IF($B236="","",ROW()-9)</f>
        <v/>
      </c>
      <c r="B236" s="14" t="n"/>
      <c r="C236" s="15" t="n"/>
      <c r="D236" s="15" t="n"/>
      <c r="E236" s="15" t="n"/>
      <c r="F236" s="15">
        <f>IF($E236="","",IFERROR(VLOOKUP($E236,AKUN!$A$2:$B$200,2,FALSE),"Kode tidak ditemukan"))</f>
        <v/>
      </c>
      <c r="G236" s="15" t="n"/>
      <c r="H236" s="17" t="n"/>
      <c r="I236" s="17" t="n"/>
      <c r="J236" s="13">
        <f>IF($B236="","",MONTH($B236))</f>
        <v/>
      </c>
      <c r="K236" s="13">
        <f>IF($B236="","",YEAR($B236))</f>
        <v/>
      </c>
    </row>
    <row r="237">
      <c r="A237" s="18">
        <f>IF($B237="","",ROW()-9)</f>
        <v/>
      </c>
      <c r="B237" s="19" t="n"/>
      <c r="C237" s="4" t="n"/>
      <c r="D237" s="4" t="n"/>
      <c r="E237" s="4" t="n"/>
      <c r="F237" s="4">
        <f>IF($E237="","",IFERROR(VLOOKUP($E237,AKUN!$A$2:$B$200,2,FALSE),"Kode tidak ditemukan"))</f>
        <v/>
      </c>
      <c r="G237" s="4" t="n"/>
      <c r="H237" s="9" t="n"/>
      <c r="I237" s="9" t="n"/>
      <c r="J237" s="18">
        <f>IF($B237="","",MONTH($B237))</f>
        <v/>
      </c>
      <c r="K237" s="18">
        <f>IF($B237="","",YEAR($B237))</f>
        <v/>
      </c>
    </row>
    <row r="238">
      <c r="A238" s="13">
        <f>IF($B238="","",ROW()-9)</f>
        <v/>
      </c>
      <c r="B238" s="14" t="n"/>
      <c r="C238" s="15" t="n"/>
      <c r="D238" s="15" t="n"/>
      <c r="E238" s="15" t="n"/>
      <c r="F238" s="15">
        <f>IF($E238="","",IFERROR(VLOOKUP($E238,AKUN!$A$2:$B$200,2,FALSE),"Kode tidak ditemukan"))</f>
        <v/>
      </c>
      <c r="G238" s="15" t="n"/>
      <c r="H238" s="17" t="n"/>
      <c r="I238" s="17" t="n"/>
      <c r="J238" s="13">
        <f>IF($B238="","",MONTH($B238))</f>
        <v/>
      </c>
      <c r="K238" s="13">
        <f>IF($B238="","",YEAR($B238))</f>
        <v/>
      </c>
    </row>
    <row r="239">
      <c r="A239" s="18">
        <f>IF($B239="","",ROW()-9)</f>
        <v/>
      </c>
      <c r="B239" s="19" t="n"/>
      <c r="C239" s="4" t="n"/>
      <c r="D239" s="4" t="n"/>
      <c r="E239" s="4" t="n"/>
      <c r="F239" s="4">
        <f>IF($E239="","",IFERROR(VLOOKUP($E239,AKUN!$A$2:$B$200,2,FALSE),"Kode tidak ditemukan"))</f>
        <v/>
      </c>
      <c r="G239" s="4" t="n"/>
      <c r="H239" s="9" t="n"/>
      <c r="I239" s="9" t="n"/>
      <c r="J239" s="18">
        <f>IF($B239="","",MONTH($B239))</f>
        <v/>
      </c>
      <c r="K239" s="18">
        <f>IF($B239="","",YEAR($B239))</f>
        <v/>
      </c>
    </row>
    <row r="240">
      <c r="A240" s="13">
        <f>IF($B240="","",ROW()-9)</f>
        <v/>
      </c>
      <c r="B240" s="14" t="n"/>
      <c r="C240" s="15" t="n"/>
      <c r="D240" s="15" t="n"/>
      <c r="E240" s="15" t="n"/>
      <c r="F240" s="15">
        <f>IF($E240="","",IFERROR(VLOOKUP($E240,AKUN!$A$2:$B$200,2,FALSE),"Kode tidak ditemukan"))</f>
        <v/>
      </c>
      <c r="G240" s="15" t="n"/>
      <c r="H240" s="17" t="n"/>
      <c r="I240" s="17" t="n"/>
      <c r="J240" s="13">
        <f>IF($B240="","",MONTH($B240))</f>
        <v/>
      </c>
      <c r="K240" s="13">
        <f>IF($B240="","",YEAR($B240))</f>
        <v/>
      </c>
    </row>
    <row r="241">
      <c r="A241" s="18">
        <f>IF($B241="","",ROW()-9)</f>
        <v/>
      </c>
      <c r="B241" s="19" t="n"/>
      <c r="C241" s="4" t="n"/>
      <c r="D241" s="4" t="n"/>
      <c r="E241" s="4" t="n"/>
      <c r="F241" s="4">
        <f>IF($E241="","",IFERROR(VLOOKUP($E241,AKUN!$A$2:$B$200,2,FALSE),"Kode tidak ditemukan"))</f>
        <v/>
      </c>
      <c r="G241" s="4" t="n"/>
      <c r="H241" s="9" t="n"/>
      <c r="I241" s="9" t="n"/>
      <c r="J241" s="18">
        <f>IF($B241="","",MONTH($B241))</f>
        <v/>
      </c>
      <c r="K241" s="18">
        <f>IF($B241="","",YEAR($B241))</f>
        <v/>
      </c>
    </row>
    <row r="242">
      <c r="A242" s="13">
        <f>IF($B242="","",ROW()-9)</f>
        <v/>
      </c>
      <c r="B242" s="14" t="n"/>
      <c r="C242" s="15" t="n"/>
      <c r="D242" s="15" t="n"/>
      <c r="E242" s="15" t="n"/>
      <c r="F242" s="15">
        <f>IF($E242="","",IFERROR(VLOOKUP($E242,AKUN!$A$2:$B$200,2,FALSE),"Kode tidak ditemukan"))</f>
        <v/>
      </c>
      <c r="G242" s="15" t="n"/>
      <c r="H242" s="17" t="n"/>
      <c r="I242" s="17" t="n"/>
      <c r="J242" s="13">
        <f>IF($B242="","",MONTH($B242))</f>
        <v/>
      </c>
      <c r="K242" s="13">
        <f>IF($B242="","",YEAR($B242))</f>
        <v/>
      </c>
    </row>
    <row r="243">
      <c r="A243" s="18">
        <f>IF($B243="","",ROW()-9)</f>
        <v/>
      </c>
      <c r="B243" s="19" t="n"/>
      <c r="C243" s="4" t="n"/>
      <c r="D243" s="4" t="n"/>
      <c r="E243" s="4" t="n"/>
      <c r="F243" s="4">
        <f>IF($E243="","",IFERROR(VLOOKUP($E243,AKUN!$A$2:$B$200,2,FALSE),"Kode tidak ditemukan"))</f>
        <v/>
      </c>
      <c r="G243" s="4" t="n"/>
      <c r="H243" s="9" t="n"/>
      <c r="I243" s="9" t="n"/>
      <c r="J243" s="18">
        <f>IF($B243="","",MONTH($B243))</f>
        <v/>
      </c>
      <c r="K243" s="18">
        <f>IF($B243="","",YEAR($B243))</f>
        <v/>
      </c>
    </row>
    <row r="244">
      <c r="A244" s="13">
        <f>IF($B244="","",ROW()-9)</f>
        <v/>
      </c>
      <c r="B244" s="14" t="n"/>
      <c r="C244" s="15" t="n"/>
      <c r="D244" s="15" t="n"/>
      <c r="E244" s="15" t="n"/>
      <c r="F244" s="15">
        <f>IF($E244="","",IFERROR(VLOOKUP($E244,AKUN!$A$2:$B$200,2,FALSE),"Kode tidak ditemukan"))</f>
        <v/>
      </c>
      <c r="G244" s="15" t="n"/>
      <c r="H244" s="17" t="n"/>
      <c r="I244" s="17" t="n"/>
      <c r="J244" s="13">
        <f>IF($B244="","",MONTH($B244))</f>
        <v/>
      </c>
      <c r="K244" s="13">
        <f>IF($B244="","",YEAR($B244))</f>
        <v/>
      </c>
    </row>
    <row r="245">
      <c r="A245" s="18">
        <f>IF($B245="","",ROW()-9)</f>
        <v/>
      </c>
      <c r="B245" s="19" t="n"/>
      <c r="C245" s="4" t="n"/>
      <c r="D245" s="4" t="n"/>
      <c r="E245" s="4" t="n"/>
      <c r="F245" s="4">
        <f>IF($E245="","",IFERROR(VLOOKUP($E245,AKUN!$A$2:$B$200,2,FALSE),"Kode tidak ditemukan"))</f>
        <v/>
      </c>
      <c r="G245" s="4" t="n"/>
      <c r="H245" s="9" t="n"/>
      <c r="I245" s="9" t="n"/>
      <c r="J245" s="18">
        <f>IF($B245="","",MONTH($B245))</f>
        <v/>
      </c>
      <c r="K245" s="18">
        <f>IF($B245="","",YEAR($B245))</f>
        <v/>
      </c>
    </row>
    <row r="246">
      <c r="A246" s="13">
        <f>IF($B246="","",ROW()-9)</f>
        <v/>
      </c>
      <c r="B246" s="14" t="n"/>
      <c r="C246" s="15" t="n"/>
      <c r="D246" s="15" t="n"/>
      <c r="E246" s="15" t="n"/>
      <c r="F246" s="15">
        <f>IF($E246="","",IFERROR(VLOOKUP($E246,AKUN!$A$2:$B$200,2,FALSE),"Kode tidak ditemukan"))</f>
        <v/>
      </c>
      <c r="G246" s="15" t="n"/>
      <c r="H246" s="17" t="n"/>
      <c r="I246" s="17" t="n"/>
      <c r="J246" s="13">
        <f>IF($B246="","",MONTH($B246))</f>
        <v/>
      </c>
      <c r="K246" s="13">
        <f>IF($B246="","",YEAR($B246))</f>
        <v/>
      </c>
    </row>
    <row r="247">
      <c r="A247" s="18">
        <f>IF($B247="","",ROW()-9)</f>
        <v/>
      </c>
      <c r="B247" s="19" t="n"/>
      <c r="C247" s="4" t="n"/>
      <c r="D247" s="4" t="n"/>
      <c r="E247" s="4" t="n"/>
      <c r="F247" s="4">
        <f>IF($E247="","",IFERROR(VLOOKUP($E247,AKUN!$A$2:$B$200,2,FALSE),"Kode tidak ditemukan"))</f>
        <v/>
      </c>
      <c r="G247" s="4" t="n"/>
      <c r="H247" s="9" t="n"/>
      <c r="I247" s="9" t="n"/>
      <c r="J247" s="18">
        <f>IF($B247="","",MONTH($B247))</f>
        <v/>
      </c>
      <c r="K247" s="18">
        <f>IF($B247="","",YEAR($B247))</f>
        <v/>
      </c>
    </row>
    <row r="248">
      <c r="A248" s="13">
        <f>IF($B248="","",ROW()-9)</f>
        <v/>
      </c>
      <c r="B248" s="14" t="n"/>
      <c r="C248" s="15" t="n"/>
      <c r="D248" s="15" t="n"/>
      <c r="E248" s="15" t="n"/>
      <c r="F248" s="15">
        <f>IF($E248="","",IFERROR(VLOOKUP($E248,AKUN!$A$2:$B$200,2,FALSE),"Kode tidak ditemukan"))</f>
        <v/>
      </c>
      <c r="G248" s="15" t="n"/>
      <c r="H248" s="17" t="n"/>
      <c r="I248" s="17" t="n"/>
      <c r="J248" s="13">
        <f>IF($B248="","",MONTH($B248))</f>
        <v/>
      </c>
      <c r="K248" s="13">
        <f>IF($B248="","",YEAR($B248))</f>
        <v/>
      </c>
    </row>
    <row r="249">
      <c r="A249" s="18">
        <f>IF($B249="","",ROW()-9)</f>
        <v/>
      </c>
      <c r="B249" s="19" t="n"/>
      <c r="C249" s="4" t="n"/>
      <c r="D249" s="4" t="n"/>
      <c r="E249" s="4" t="n"/>
      <c r="F249" s="4">
        <f>IF($E249="","",IFERROR(VLOOKUP($E249,AKUN!$A$2:$B$200,2,FALSE),"Kode tidak ditemukan"))</f>
        <v/>
      </c>
      <c r="G249" s="4" t="n"/>
      <c r="H249" s="9" t="n"/>
      <c r="I249" s="9" t="n"/>
      <c r="J249" s="18">
        <f>IF($B249="","",MONTH($B249))</f>
        <v/>
      </c>
      <c r="K249" s="18">
        <f>IF($B249="","",YEAR($B249))</f>
        <v/>
      </c>
    </row>
    <row r="250">
      <c r="A250" s="13">
        <f>IF($B250="","",ROW()-9)</f>
        <v/>
      </c>
      <c r="B250" s="14" t="n"/>
      <c r="C250" s="15" t="n"/>
      <c r="D250" s="15" t="n"/>
      <c r="E250" s="15" t="n"/>
      <c r="F250" s="15">
        <f>IF($E250="","",IFERROR(VLOOKUP($E250,AKUN!$A$2:$B$200,2,FALSE),"Kode tidak ditemukan"))</f>
        <v/>
      </c>
      <c r="G250" s="15" t="n"/>
      <c r="H250" s="17" t="n"/>
      <c r="I250" s="17" t="n"/>
      <c r="J250" s="13">
        <f>IF($B250="","",MONTH($B250))</f>
        <v/>
      </c>
      <c r="K250" s="13">
        <f>IF($B250="","",YEAR($B250))</f>
        <v/>
      </c>
    </row>
    <row r="251">
      <c r="A251" s="18">
        <f>IF($B251="","",ROW()-9)</f>
        <v/>
      </c>
      <c r="B251" s="19" t="n"/>
      <c r="C251" s="4" t="n"/>
      <c r="D251" s="4" t="n"/>
      <c r="E251" s="4" t="n"/>
      <c r="F251" s="4">
        <f>IF($E251="","",IFERROR(VLOOKUP($E251,AKUN!$A$2:$B$200,2,FALSE),"Kode tidak ditemukan"))</f>
        <v/>
      </c>
      <c r="G251" s="4" t="n"/>
      <c r="H251" s="9" t="n"/>
      <c r="I251" s="9" t="n"/>
      <c r="J251" s="18">
        <f>IF($B251="","",MONTH($B251))</f>
        <v/>
      </c>
      <c r="K251" s="18">
        <f>IF($B251="","",YEAR($B251))</f>
        <v/>
      </c>
    </row>
    <row r="252">
      <c r="A252" s="13">
        <f>IF($B252="","",ROW()-9)</f>
        <v/>
      </c>
      <c r="B252" s="14" t="n"/>
      <c r="C252" s="15" t="n"/>
      <c r="D252" s="15" t="n"/>
      <c r="E252" s="15" t="n"/>
      <c r="F252" s="15">
        <f>IF($E252="","",IFERROR(VLOOKUP($E252,AKUN!$A$2:$B$200,2,FALSE),"Kode tidak ditemukan"))</f>
        <v/>
      </c>
      <c r="G252" s="15" t="n"/>
      <c r="H252" s="17" t="n"/>
      <c r="I252" s="17" t="n"/>
      <c r="J252" s="13">
        <f>IF($B252="","",MONTH($B252))</f>
        <v/>
      </c>
      <c r="K252" s="13">
        <f>IF($B252="","",YEAR($B252))</f>
        <v/>
      </c>
    </row>
    <row r="253">
      <c r="A253" s="18">
        <f>IF($B253="","",ROW()-9)</f>
        <v/>
      </c>
      <c r="B253" s="19" t="n"/>
      <c r="C253" s="4" t="n"/>
      <c r="D253" s="4" t="n"/>
      <c r="E253" s="4" t="n"/>
      <c r="F253" s="4">
        <f>IF($E253="","",IFERROR(VLOOKUP($E253,AKUN!$A$2:$B$200,2,FALSE),"Kode tidak ditemukan"))</f>
        <v/>
      </c>
      <c r="G253" s="4" t="n"/>
      <c r="H253" s="9" t="n"/>
      <c r="I253" s="9" t="n"/>
      <c r="J253" s="18">
        <f>IF($B253="","",MONTH($B253))</f>
        <v/>
      </c>
      <c r="K253" s="18">
        <f>IF($B253="","",YEAR($B253))</f>
        <v/>
      </c>
    </row>
    <row r="254">
      <c r="A254" s="13">
        <f>IF($B254="","",ROW()-9)</f>
        <v/>
      </c>
      <c r="B254" s="14" t="n"/>
      <c r="C254" s="15" t="n"/>
      <c r="D254" s="15" t="n"/>
      <c r="E254" s="15" t="n"/>
      <c r="F254" s="15">
        <f>IF($E254="","",IFERROR(VLOOKUP($E254,AKUN!$A$2:$B$200,2,FALSE),"Kode tidak ditemukan"))</f>
        <v/>
      </c>
      <c r="G254" s="15" t="n"/>
      <c r="H254" s="17" t="n"/>
      <c r="I254" s="17" t="n"/>
      <c r="J254" s="13">
        <f>IF($B254="","",MONTH($B254))</f>
        <v/>
      </c>
      <c r="K254" s="13">
        <f>IF($B254="","",YEAR($B254))</f>
        <v/>
      </c>
    </row>
    <row r="255">
      <c r="A255" s="18">
        <f>IF($B255="","",ROW()-9)</f>
        <v/>
      </c>
      <c r="B255" s="19" t="n"/>
      <c r="C255" s="4" t="n"/>
      <c r="D255" s="4" t="n"/>
      <c r="E255" s="4" t="n"/>
      <c r="F255" s="4">
        <f>IF($E255="","",IFERROR(VLOOKUP($E255,AKUN!$A$2:$B$200,2,FALSE),"Kode tidak ditemukan"))</f>
        <v/>
      </c>
      <c r="G255" s="4" t="n"/>
      <c r="H255" s="9" t="n"/>
      <c r="I255" s="9" t="n"/>
      <c r="J255" s="18">
        <f>IF($B255="","",MONTH($B255))</f>
        <v/>
      </c>
      <c r="K255" s="18">
        <f>IF($B255="","",YEAR($B255))</f>
        <v/>
      </c>
    </row>
    <row r="256">
      <c r="A256" s="13">
        <f>IF($B256="","",ROW()-9)</f>
        <v/>
      </c>
      <c r="B256" s="14" t="n"/>
      <c r="C256" s="15" t="n"/>
      <c r="D256" s="15" t="n"/>
      <c r="E256" s="15" t="n"/>
      <c r="F256" s="15">
        <f>IF($E256="","",IFERROR(VLOOKUP($E256,AKUN!$A$2:$B$200,2,FALSE),"Kode tidak ditemukan"))</f>
        <v/>
      </c>
      <c r="G256" s="15" t="n"/>
      <c r="H256" s="17" t="n"/>
      <c r="I256" s="17" t="n"/>
      <c r="J256" s="13">
        <f>IF($B256="","",MONTH($B256))</f>
        <v/>
      </c>
      <c r="K256" s="13">
        <f>IF($B256="","",YEAR($B256))</f>
        <v/>
      </c>
    </row>
    <row r="257">
      <c r="A257" s="18">
        <f>IF($B257="","",ROW()-9)</f>
        <v/>
      </c>
      <c r="B257" s="19" t="n"/>
      <c r="C257" s="4" t="n"/>
      <c r="D257" s="4" t="n"/>
      <c r="E257" s="4" t="n"/>
      <c r="F257" s="4">
        <f>IF($E257="","",IFERROR(VLOOKUP($E257,AKUN!$A$2:$B$200,2,FALSE),"Kode tidak ditemukan"))</f>
        <v/>
      </c>
      <c r="G257" s="4" t="n"/>
      <c r="H257" s="9" t="n"/>
      <c r="I257" s="9" t="n"/>
      <c r="J257" s="18">
        <f>IF($B257="","",MONTH($B257))</f>
        <v/>
      </c>
      <c r="K257" s="18">
        <f>IF($B257="","",YEAR($B257))</f>
        <v/>
      </c>
    </row>
    <row r="258">
      <c r="A258" s="13">
        <f>IF($B258="","",ROW()-9)</f>
        <v/>
      </c>
      <c r="B258" s="14" t="n"/>
      <c r="C258" s="15" t="n"/>
      <c r="D258" s="15" t="n"/>
      <c r="E258" s="15" t="n"/>
      <c r="F258" s="15">
        <f>IF($E258="","",IFERROR(VLOOKUP($E258,AKUN!$A$2:$B$200,2,FALSE),"Kode tidak ditemukan"))</f>
        <v/>
      </c>
      <c r="G258" s="15" t="n"/>
      <c r="H258" s="17" t="n"/>
      <c r="I258" s="17" t="n"/>
      <c r="J258" s="13">
        <f>IF($B258="","",MONTH($B258))</f>
        <v/>
      </c>
      <c r="K258" s="13">
        <f>IF($B258="","",YEAR($B258))</f>
        <v/>
      </c>
    </row>
    <row r="259">
      <c r="A259" s="18">
        <f>IF($B259="","",ROW()-9)</f>
        <v/>
      </c>
      <c r="B259" s="19" t="n"/>
      <c r="C259" s="4" t="n"/>
      <c r="D259" s="4" t="n"/>
      <c r="E259" s="4" t="n"/>
      <c r="F259" s="4">
        <f>IF($E259="","",IFERROR(VLOOKUP($E259,AKUN!$A$2:$B$200,2,FALSE),"Kode tidak ditemukan"))</f>
        <v/>
      </c>
      <c r="G259" s="4" t="n"/>
      <c r="H259" s="9" t="n"/>
      <c r="I259" s="9" t="n"/>
      <c r="J259" s="18">
        <f>IF($B259="","",MONTH($B259))</f>
        <v/>
      </c>
      <c r="K259" s="18">
        <f>IF($B259="","",YEAR($B259))</f>
        <v/>
      </c>
    </row>
    <row r="260">
      <c r="A260" s="13">
        <f>IF($B260="","",ROW()-9)</f>
        <v/>
      </c>
      <c r="B260" s="14" t="n"/>
      <c r="C260" s="15" t="n"/>
      <c r="D260" s="15" t="n"/>
      <c r="E260" s="15" t="n"/>
      <c r="F260" s="15">
        <f>IF($E260="","",IFERROR(VLOOKUP($E260,AKUN!$A$2:$B$200,2,FALSE),"Kode tidak ditemukan"))</f>
        <v/>
      </c>
      <c r="G260" s="15" t="n"/>
      <c r="H260" s="17" t="n"/>
      <c r="I260" s="17" t="n"/>
      <c r="J260" s="13">
        <f>IF($B260="","",MONTH($B260))</f>
        <v/>
      </c>
      <c r="K260" s="13">
        <f>IF($B260="","",YEAR($B260))</f>
        <v/>
      </c>
    </row>
    <row r="261">
      <c r="A261" s="18">
        <f>IF($B261="","",ROW()-9)</f>
        <v/>
      </c>
      <c r="B261" s="19" t="n"/>
      <c r="C261" s="4" t="n"/>
      <c r="D261" s="4" t="n"/>
      <c r="E261" s="4" t="n"/>
      <c r="F261" s="4">
        <f>IF($E261="","",IFERROR(VLOOKUP($E261,AKUN!$A$2:$B$200,2,FALSE),"Kode tidak ditemukan"))</f>
        <v/>
      </c>
      <c r="G261" s="4" t="n"/>
      <c r="H261" s="9" t="n"/>
      <c r="I261" s="9" t="n"/>
      <c r="J261" s="18">
        <f>IF($B261="","",MONTH($B261))</f>
        <v/>
      </c>
      <c r="K261" s="18">
        <f>IF($B261="","",YEAR($B261))</f>
        <v/>
      </c>
    </row>
    <row r="262">
      <c r="A262" s="13">
        <f>IF($B262="","",ROW()-9)</f>
        <v/>
      </c>
      <c r="B262" s="14" t="n"/>
      <c r="C262" s="15" t="n"/>
      <c r="D262" s="15" t="n"/>
      <c r="E262" s="15" t="n"/>
      <c r="F262" s="15">
        <f>IF($E262="","",IFERROR(VLOOKUP($E262,AKUN!$A$2:$B$200,2,FALSE),"Kode tidak ditemukan"))</f>
        <v/>
      </c>
      <c r="G262" s="15" t="n"/>
      <c r="H262" s="17" t="n"/>
      <c r="I262" s="17" t="n"/>
      <c r="J262" s="13">
        <f>IF($B262="","",MONTH($B262))</f>
        <v/>
      </c>
      <c r="K262" s="13">
        <f>IF($B262="","",YEAR($B262))</f>
        <v/>
      </c>
    </row>
    <row r="263">
      <c r="A263" s="18">
        <f>IF($B263="","",ROW()-9)</f>
        <v/>
      </c>
      <c r="B263" s="19" t="n"/>
      <c r="C263" s="4" t="n"/>
      <c r="D263" s="4" t="n"/>
      <c r="E263" s="4" t="n"/>
      <c r="F263" s="4">
        <f>IF($E263="","",IFERROR(VLOOKUP($E263,AKUN!$A$2:$B$200,2,FALSE),"Kode tidak ditemukan"))</f>
        <v/>
      </c>
      <c r="G263" s="4" t="n"/>
      <c r="H263" s="9" t="n"/>
      <c r="I263" s="9" t="n"/>
      <c r="J263" s="18">
        <f>IF($B263="","",MONTH($B263))</f>
        <v/>
      </c>
      <c r="K263" s="18">
        <f>IF($B263="","",YEAR($B263))</f>
        <v/>
      </c>
    </row>
    <row r="264">
      <c r="A264" s="13">
        <f>IF($B264="","",ROW()-9)</f>
        <v/>
      </c>
      <c r="B264" s="14" t="n"/>
      <c r="C264" s="15" t="n"/>
      <c r="D264" s="15" t="n"/>
      <c r="E264" s="15" t="n"/>
      <c r="F264" s="15">
        <f>IF($E264="","",IFERROR(VLOOKUP($E264,AKUN!$A$2:$B$200,2,FALSE),"Kode tidak ditemukan"))</f>
        <v/>
      </c>
      <c r="G264" s="15" t="n"/>
      <c r="H264" s="17" t="n"/>
      <c r="I264" s="17" t="n"/>
      <c r="J264" s="13">
        <f>IF($B264="","",MONTH($B264))</f>
        <v/>
      </c>
      <c r="K264" s="13">
        <f>IF($B264="","",YEAR($B264))</f>
        <v/>
      </c>
    </row>
    <row r="265">
      <c r="A265" s="18">
        <f>IF($B265="","",ROW()-9)</f>
        <v/>
      </c>
      <c r="B265" s="19" t="n"/>
      <c r="C265" s="4" t="n"/>
      <c r="D265" s="4" t="n"/>
      <c r="E265" s="4" t="n"/>
      <c r="F265" s="4">
        <f>IF($E265="","",IFERROR(VLOOKUP($E265,AKUN!$A$2:$B$200,2,FALSE),"Kode tidak ditemukan"))</f>
        <v/>
      </c>
      <c r="G265" s="4" t="n"/>
      <c r="H265" s="9" t="n"/>
      <c r="I265" s="9" t="n"/>
      <c r="J265" s="18">
        <f>IF($B265="","",MONTH($B265))</f>
        <v/>
      </c>
      <c r="K265" s="18">
        <f>IF($B265="","",YEAR($B265))</f>
        <v/>
      </c>
    </row>
    <row r="266">
      <c r="A266" s="13">
        <f>IF($B266="","",ROW()-9)</f>
        <v/>
      </c>
      <c r="B266" s="14" t="n"/>
      <c r="C266" s="15" t="n"/>
      <c r="D266" s="15" t="n"/>
      <c r="E266" s="15" t="n"/>
      <c r="F266" s="15">
        <f>IF($E266="","",IFERROR(VLOOKUP($E266,AKUN!$A$2:$B$200,2,FALSE),"Kode tidak ditemukan"))</f>
        <v/>
      </c>
      <c r="G266" s="15" t="n"/>
      <c r="H266" s="17" t="n"/>
      <c r="I266" s="17" t="n"/>
      <c r="J266" s="13">
        <f>IF($B266="","",MONTH($B266))</f>
        <v/>
      </c>
      <c r="K266" s="13">
        <f>IF($B266="","",YEAR($B266))</f>
        <v/>
      </c>
    </row>
    <row r="267">
      <c r="A267" s="18">
        <f>IF($B267="","",ROW()-9)</f>
        <v/>
      </c>
      <c r="B267" s="19" t="n"/>
      <c r="C267" s="4" t="n"/>
      <c r="D267" s="4" t="n"/>
      <c r="E267" s="4" t="n"/>
      <c r="F267" s="4">
        <f>IF($E267="","",IFERROR(VLOOKUP($E267,AKUN!$A$2:$B$200,2,FALSE),"Kode tidak ditemukan"))</f>
        <v/>
      </c>
      <c r="G267" s="4" t="n"/>
      <c r="H267" s="9" t="n"/>
      <c r="I267" s="9" t="n"/>
      <c r="J267" s="18">
        <f>IF($B267="","",MONTH($B267))</f>
        <v/>
      </c>
      <c r="K267" s="18">
        <f>IF($B267="","",YEAR($B267))</f>
        <v/>
      </c>
    </row>
    <row r="268">
      <c r="A268" s="13">
        <f>IF($B268="","",ROW()-9)</f>
        <v/>
      </c>
      <c r="B268" s="14" t="n"/>
      <c r="C268" s="15" t="n"/>
      <c r="D268" s="15" t="n"/>
      <c r="E268" s="15" t="n"/>
      <c r="F268" s="15">
        <f>IF($E268="","",IFERROR(VLOOKUP($E268,AKUN!$A$2:$B$200,2,FALSE),"Kode tidak ditemukan"))</f>
        <v/>
      </c>
      <c r="G268" s="15" t="n"/>
      <c r="H268" s="17" t="n"/>
      <c r="I268" s="17" t="n"/>
      <c r="J268" s="13">
        <f>IF($B268="","",MONTH($B268))</f>
        <v/>
      </c>
      <c r="K268" s="13">
        <f>IF($B268="","",YEAR($B268))</f>
        <v/>
      </c>
    </row>
    <row r="269">
      <c r="A269" s="18">
        <f>IF($B269="","",ROW()-9)</f>
        <v/>
      </c>
      <c r="B269" s="19" t="n"/>
      <c r="C269" s="4" t="n"/>
      <c r="D269" s="4" t="n"/>
      <c r="E269" s="4" t="n"/>
      <c r="F269" s="4">
        <f>IF($E269="","",IFERROR(VLOOKUP($E269,AKUN!$A$2:$B$200,2,FALSE),"Kode tidak ditemukan"))</f>
        <v/>
      </c>
      <c r="G269" s="4" t="n"/>
      <c r="H269" s="9" t="n"/>
      <c r="I269" s="9" t="n"/>
      <c r="J269" s="18">
        <f>IF($B269="","",MONTH($B269))</f>
        <v/>
      </c>
      <c r="K269" s="18">
        <f>IF($B269="","",YEAR($B269))</f>
        <v/>
      </c>
    </row>
    <row r="270">
      <c r="A270" s="13">
        <f>IF($B270="","",ROW()-9)</f>
        <v/>
      </c>
      <c r="B270" s="14" t="n"/>
      <c r="C270" s="15" t="n"/>
      <c r="D270" s="15" t="n"/>
      <c r="E270" s="15" t="n"/>
      <c r="F270" s="15">
        <f>IF($E270="","",IFERROR(VLOOKUP($E270,AKUN!$A$2:$B$200,2,FALSE),"Kode tidak ditemukan"))</f>
        <v/>
      </c>
      <c r="G270" s="15" t="n"/>
      <c r="H270" s="17" t="n"/>
      <c r="I270" s="17" t="n"/>
      <c r="J270" s="13">
        <f>IF($B270="","",MONTH($B270))</f>
        <v/>
      </c>
      <c r="K270" s="13">
        <f>IF($B270="","",YEAR($B270))</f>
        <v/>
      </c>
    </row>
    <row r="271">
      <c r="A271" s="18">
        <f>IF($B271="","",ROW()-9)</f>
        <v/>
      </c>
      <c r="B271" s="19" t="n"/>
      <c r="C271" s="4" t="n"/>
      <c r="D271" s="4" t="n"/>
      <c r="E271" s="4" t="n"/>
      <c r="F271" s="4">
        <f>IF($E271="","",IFERROR(VLOOKUP($E271,AKUN!$A$2:$B$200,2,FALSE),"Kode tidak ditemukan"))</f>
        <v/>
      </c>
      <c r="G271" s="4" t="n"/>
      <c r="H271" s="9" t="n"/>
      <c r="I271" s="9" t="n"/>
      <c r="J271" s="18">
        <f>IF($B271="","",MONTH($B271))</f>
        <v/>
      </c>
      <c r="K271" s="18">
        <f>IF($B271="","",YEAR($B271))</f>
        <v/>
      </c>
    </row>
    <row r="272">
      <c r="A272" s="13">
        <f>IF($B272="","",ROW()-9)</f>
        <v/>
      </c>
      <c r="B272" s="14" t="n"/>
      <c r="C272" s="15" t="n"/>
      <c r="D272" s="15" t="n"/>
      <c r="E272" s="15" t="n"/>
      <c r="F272" s="15">
        <f>IF($E272="","",IFERROR(VLOOKUP($E272,AKUN!$A$2:$B$200,2,FALSE),"Kode tidak ditemukan"))</f>
        <v/>
      </c>
      <c r="G272" s="15" t="n"/>
      <c r="H272" s="17" t="n"/>
      <c r="I272" s="17" t="n"/>
      <c r="J272" s="13">
        <f>IF($B272="","",MONTH($B272))</f>
        <v/>
      </c>
      <c r="K272" s="13">
        <f>IF($B272="","",YEAR($B272))</f>
        <v/>
      </c>
    </row>
    <row r="273">
      <c r="A273" s="18">
        <f>IF($B273="","",ROW()-9)</f>
        <v/>
      </c>
      <c r="B273" s="19" t="n"/>
      <c r="C273" s="4" t="n"/>
      <c r="D273" s="4" t="n"/>
      <c r="E273" s="4" t="n"/>
      <c r="F273" s="4">
        <f>IF($E273="","",IFERROR(VLOOKUP($E273,AKUN!$A$2:$B$200,2,FALSE),"Kode tidak ditemukan"))</f>
        <v/>
      </c>
      <c r="G273" s="4" t="n"/>
      <c r="H273" s="9" t="n"/>
      <c r="I273" s="9" t="n"/>
      <c r="J273" s="18">
        <f>IF($B273="","",MONTH($B273))</f>
        <v/>
      </c>
      <c r="K273" s="18">
        <f>IF($B273="","",YEAR($B273))</f>
        <v/>
      </c>
    </row>
    <row r="274">
      <c r="A274" s="13">
        <f>IF($B274="","",ROW()-9)</f>
        <v/>
      </c>
      <c r="B274" s="14" t="n"/>
      <c r="C274" s="15" t="n"/>
      <c r="D274" s="15" t="n"/>
      <c r="E274" s="15" t="n"/>
      <c r="F274" s="15">
        <f>IF($E274="","",IFERROR(VLOOKUP($E274,AKUN!$A$2:$B$200,2,FALSE),"Kode tidak ditemukan"))</f>
        <v/>
      </c>
      <c r="G274" s="15" t="n"/>
      <c r="H274" s="17" t="n"/>
      <c r="I274" s="17" t="n"/>
      <c r="J274" s="13">
        <f>IF($B274="","",MONTH($B274))</f>
        <v/>
      </c>
      <c r="K274" s="13">
        <f>IF($B274="","",YEAR($B274))</f>
        <v/>
      </c>
    </row>
    <row r="275">
      <c r="A275" s="18">
        <f>IF($B275="","",ROW()-9)</f>
        <v/>
      </c>
      <c r="B275" s="19" t="n"/>
      <c r="C275" s="4" t="n"/>
      <c r="D275" s="4" t="n"/>
      <c r="E275" s="4" t="n"/>
      <c r="F275" s="4">
        <f>IF($E275="","",IFERROR(VLOOKUP($E275,AKUN!$A$2:$B$200,2,FALSE),"Kode tidak ditemukan"))</f>
        <v/>
      </c>
      <c r="G275" s="4" t="n"/>
      <c r="H275" s="9" t="n"/>
      <c r="I275" s="9" t="n"/>
      <c r="J275" s="18">
        <f>IF($B275="","",MONTH($B275))</f>
        <v/>
      </c>
      <c r="K275" s="18">
        <f>IF($B275="","",YEAR($B275))</f>
        <v/>
      </c>
    </row>
    <row r="276">
      <c r="A276" s="13">
        <f>IF($B276="","",ROW()-9)</f>
        <v/>
      </c>
      <c r="B276" s="14" t="n"/>
      <c r="C276" s="15" t="n"/>
      <c r="D276" s="15" t="n"/>
      <c r="E276" s="15" t="n"/>
      <c r="F276" s="15">
        <f>IF($E276="","",IFERROR(VLOOKUP($E276,AKUN!$A$2:$B$200,2,FALSE),"Kode tidak ditemukan"))</f>
        <v/>
      </c>
      <c r="G276" s="15" t="n"/>
      <c r="H276" s="17" t="n"/>
      <c r="I276" s="17" t="n"/>
      <c r="J276" s="13">
        <f>IF($B276="","",MONTH($B276))</f>
        <v/>
      </c>
      <c r="K276" s="13">
        <f>IF($B276="","",YEAR($B276))</f>
        <v/>
      </c>
    </row>
    <row r="277">
      <c r="A277" s="18">
        <f>IF($B277="","",ROW()-9)</f>
        <v/>
      </c>
      <c r="B277" s="19" t="n"/>
      <c r="C277" s="4" t="n"/>
      <c r="D277" s="4" t="n"/>
      <c r="E277" s="4" t="n"/>
      <c r="F277" s="4">
        <f>IF($E277="","",IFERROR(VLOOKUP($E277,AKUN!$A$2:$B$200,2,FALSE),"Kode tidak ditemukan"))</f>
        <v/>
      </c>
      <c r="G277" s="4" t="n"/>
      <c r="H277" s="9" t="n"/>
      <c r="I277" s="9" t="n"/>
      <c r="J277" s="18">
        <f>IF($B277="","",MONTH($B277))</f>
        <v/>
      </c>
      <c r="K277" s="18">
        <f>IF($B277="","",YEAR($B277))</f>
        <v/>
      </c>
    </row>
    <row r="278">
      <c r="A278" s="13">
        <f>IF($B278="","",ROW()-9)</f>
        <v/>
      </c>
      <c r="B278" s="14" t="n"/>
      <c r="C278" s="15" t="n"/>
      <c r="D278" s="15" t="n"/>
      <c r="E278" s="15" t="n"/>
      <c r="F278" s="15">
        <f>IF($E278="","",IFERROR(VLOOKUP($E278,AKUN!$A$2:$B$200,2,FALSE),"Kode tidak ditemukan"))</f>
        <v/>
      </c>
      <c r="G278" s="15" t="n"/>
      <c r="H278" s="17" t="n"/>
      <c r="I278" s="17" t="n"/>
      <c r="J278" s="13">
        <f>IF($B278="","",MONTH($B278))</f>
        <v/>
      </c>
      <c r="K278" s="13">
        <f>IF($B278="","",YEAR($B278))</f>
        <v/>
      </c>
    </row>
    <row r="279">
      <c r="A279" s="18">
        <f>IF($B279="","",ROW()-9)</f>
        <v/>
      </c>
      <c r="B279" s="19" t="n"/>
      <c r="C279" s="4" t="n"/>
      <c r="D279" s="4" t="n"/>
      <c r="E279" s="4" t="n"/>
      <c r="F279" s="4">
        <f>IF($E279="","",IFERROR(VLOOKUP($E279,AKUN!$A$2:$B$200,2,FALSE),"Kode tidak ditemukan"))</f>
        <v/>
      </c>
      <c r="G279" s="4" t="n"/>
      <c r="H279" s="9" t="n"/>
      <c r="I279" s="9" t="n"/>
      <c r="J279" s="18">
        <f>IF($B279="","",MONTH($B279))</f>
        <v/>
      </c>
      <c r="K279" s="18">
        <f>IF($B279="","",YEAR($B279))</f>
        <v/>
      </c>
    </row>
    <row r="280">
      <c r="A280" s="13">
        <f>IF($B280="","",ROW()-9)</f>
        <v/>
      </c>
      <c r="B280" s="14" t="n"/>
      <c r="C280" s="15" t="n"/>
      <c r="D280" s="15" t="n"/>
      <c r="E280" s="15" t="n"/>
      <c r="F280" s="15">
        <f>IF($E280="","",IFERROR(VLOOKUP($E280,AKUN!$A$2:$B$200,2,FALSE),"Kode tidak ditemukan"))</f>
        <v/>
      </c>
      <c r="G280" s="15" t="n"/>
      <c r="H280" s="17" t="n"/>
      <c r="I280" s="17" t="n"/>
      <c r="J280" s="13">
        <f>IF($B280="","",MONTH($B280))</f>
        <v/>
      </c>
      <c r="K280" s="13">
        <f>IF($B280="","",YEAR($B280))</f>
        <v/>
      </c>
    </row>
    <row r="281">
      <c r="A281" s="18">
        <f>IF($B281="","",ROW()-9)</f>
        <v/>
      </c>
      <c r="B281" s="19" t="n"/>
      <c r="C281" s="4" t="n"/>
      <c r="D281" s="4" t="n"/>
      <c r="E281" s="4" t="n"/>
      <c r="F281" s="4">
        <f>IF($E281="","",IFERROR(VLOOKUP($E281,AKUN!$A$2:$B$200,2,FALSE),"Kode tidak ditemukan"))</f>
        <v/>
      </c>
      <c r="G281" s="4" t="n"/>
      <c r="H281" s="9" t="n"/>
      <c r="I281" s="9" t="n"/>
      <c r="J281" s="18">
        <f>IF($B281="","",MONTH($B281))</f>
        <v/>
      </c>
      <c r="K281" s="18">
        <f>IF($B281="","",YEAR($B281))</f>
        <v/>
      </c>
    </row>
    <row r="282">
      <c r="A282" s="13">
        <f>IF($B282="","",ROW()-9)</f>
        <v/>
      </c>
      <c r="B282" s="14" t="n"/>
      <c r="C282" s="15" t="n"/>
      <c r="D282" s="15" t="n"/>
      <c r="E282" s="15" t="n"/>
      <c r="F282" s="15">
        <f>IF($E282="","",IFERROR(VLOOKUP($E282,AKUN!$A$2:$B$200,2,FALSE),"Kode tidak ditemukan"))</f>
        <v/>
      </c>
      <c r="G282" s="15" t="n"/>
      <c r="H282" s="17" t="n"/>
      <c r="I282" s="17" t="n"/>
      <c r="J282" s="13">
        <f>IF($B282="","",MONTH($B282))</f>
        <v/>
      </c>
      <c r="K282" s="13">
        <f>IF($B282="","",YEAR($B282))</f>
        <v/>
      </c>
    </row>
    <row r="283">
      <c r="A283" s="18">
        <f>IF($B283="","",ROW()-9)</f>
        <v/>
      </c>
      <c r="B283" s="19" t="n"/>
      <c r="C283" s="4" t="n"/>
      <c r="D283" s="4" t="n"/>
      <c r="E283" s="4" t="n"/>
      <c r="F283" s="4">
        <f>IF($E283="","",IFERROR(VLOOKUP($E283,AKUN!$A$2:$B$200,2,FALSE),"Kode tidak ditemukan"))</f>
        <v/>
      </c>
      <c r="G283" s="4" t="n"/>
      <c r="H283" s="9" t="n"/>
      <c r="I283" s="9" t="n"/>
      <c r="J283" s="18">
        <f>IF($B283="","",MONTH($B283))</f>
        <v/>
      </c>
      <c r="K283" s="18">
        <f>IF($B283="","",YEAR($B283))</f>
        <v/>
      </c>
    </row>
    <row r="284">
      <c r="A284" s="13">
        <f>IF($B284="","",ROW()-9)</f>
        <v/>
      </c>
      <c r="B284" s="14" t="n"/>
      <c r="C284" s="15" t="n"/>
      <c r="D284" s="15" t="n"/>
      <c r="E284" s="15" t="n"/>
      <c r="F284" s="15">
        <f>IF($E284="","",IFERROR(VLOOKUP($E284,AKUN!$A$2:$B$200,2,FALSE),"Kode tidak ditemukan"))</f>
        <v/>
      </c>
      <c r="G284" s="15" t="n"/>
      <c r="H284" s="17" t="n"/>
      <c r="I284" s="17" t="n"/>
      <c r="J284" s="13">
        <f>IF($B284="","",MONTH($B284))</f>
        <v/>
      </c>
      <c r="K284" s="13">
        <f>IF($B284="","",YEAR($B284))</f>
        <v/>
      </c>
    </row>
    <row r="285">
      <c r="A285" s="18">
        <f>IF($B285="","",ROW()-9)</f>
        <v/>
      </c>
      <c r="B285" s="19" t="n"/>
      <c r="C285" s="4" t="n"/>
      <c r="D285" s="4" t="n"/>
      <c r="E285" s="4" t="n"/>
      <c r="F285" s="4">
        <f>IF($E285="","",IFERROR(VLOOKUP($E285,AKUN!$A$2:$B$200,2,FALSE),"Kode tidak ditemukan"))</f>
        <v/>
      </c>
      <c r="G285" s="4" t="n"/>
      <c r="H285" s="9" t="n"/>
      <c r="I285" s="9" t="n"/>
      <c r="J285" s="18">
        <f>IF($B285="","",MONTH($B285))</f>
        <v/>
      </c>
      <c r="K285" s="18">
        <f>IF($B285="","",YEAR($B285))</f>
        <v/>
      </c>
    </row>
    <row r="286">
      <c r="A286" s="13">
        <f>IF($B286="","",ROW()-9)</f>
        <v/>
      </c>
      <c r="B286" s="14" t="n"/>
      <c r="C286" s="15" t="n"/>
      <c r="D286" s="15" t="n"/>
      <c r="E286" s="15" t="n"/>
      <c r="F286" s="15">
        <f>IF($E286="","",IFERROR(VLOOKUP($E286,AKUN!$A$2:$B$200,2,FALSE),"Kode tidak ditemukan"))</f>
        <v/>
      </c>
      <c r="G286" s="15" t="n"/>
      <c r="H286" s="17" t="n"/>
      <c r="I286" s="17" t="n"/>
      <c r="J286" s="13">
        <f>IF($B286="","",MONTH($B286))</f>
        <v/>
      </c>
      <c r="K286" s="13">
        <f>IF($B286="","",YEAR($B286))</f>
        <v/>
      </c>
    </row>
    <row r="287">
      <c r="A287" s="18">
        <f>IF($B287="","",ROW()-9)</f>
        <v/>
      </c>
      <c r="B287" s="19" t="n"/>
      <c r="C287" s="4" t="n"/>
      <c r="D287" s="4" t="n"/>
      <c r="E287" s="4" t="n"/>
      <c r="F287" s="4">
        <f>IF($E287="","",IFERROR(VLOOKUP($E287,AKUN!$A$2:$B$200,2,FALSE),"Kode tidak ditemukan"))</f>
        <v/>
      </c>
      <c r="G287" s="4" t="n"/>
      <c r="H287" s="9" t="n"/>
      <c r="I287" s="9" t="n"/>
      <c r="J287" s="18">
        <f>IF($B287="","",MONTH($B287))</f>
        <v/>
      </c>
      <c r="K287" s="18">
        <f>IF($B287="","",YEAR($B287))</f>
        <v/>
      </c>
    </row>
    <row r="288">
      <c r="A288" s="13">
        <f>IF($B288="","",ROW()-9)</f>
        <v/>
      </c>
      <c r="B288" s="14" t="n"/>
      <c r="C288" s="15" t="n"/>
      <c r="D288" s="15" t="n"/>
      <c r="E288" s="15" t="n"/>
      <c r="F288" s="15">
        <f>IF($E288="","",IFERROR(VLOOKUP($E288,AKUN!$A$2:$B$200,2,FALSE),"Kode tidak ditemukan"))</f>
        <v/>
      </c>
      <c r="G288" s="15" t="n"/>
      <c r="H288" s="17" t="n"/>
      <c r="I288" s="17" t="n"/>
      <c r="J288" s="13">
        <f>IF($B288="","",MONTH($B288))</f>
        <v/>
      </c>
      <c r="K288" s="13">
        <f>IF($B288="","",YEAR($B288))</f>
        <v/>
      </c>
    </row>
    <row r="289">
      <c r="A289" s="18">
        <f>IF($B289="","",ROW()-9)</f>
        <v/>
      </c>
      <c r="B289" s="19" t="n"/>
      <c r="C289" s="4" t="n"/>
      <c r="D289" s="4" t="n"/>
      <c r="E289" s="4" t="n"/>
      <c r="F289" s="4">
        <f>IF($E289="","",IFERROR(VLOOKUP($E289,AKUN!$A$2:$B$200,2,FALSE),"Kode tidak ditemukan"))</f>
        <v/>
      </c>
      <c r="G289" s="4" t="n"/>
      <c r="H289" s="9" t="n"/>
      <c r="I289" s="9" t="n"/>
      <c r="J289" s="18">
        <f>IF($B289="","",MONTH($B289))</f>
        <v/>
      </c>
      <c r="K289" s="18">
        <f>IF($B289="","",YEAR($B289))</f>
        <v/>
      </c>
    </row>
    <row r="290">
      <c r="A290" s="13">
        <f>IF($B290="","",ROW()-9)</f>
        <v/>
      </c>
      <c r="B290" s="14" t="n"/>
      <c r="C290" s="15" t="n"/>
      <c r="D290" s="15" t="n"/>
      <c r="E290" s="15" t="n"/>
      <c r="F290" s="15">
        <f>IF($E290="","",IFERROR(VLOOKUP($E290,AKUN!$A$2:$B$200,2,FALSE),"Kode tidak ditemukan"))</f>
        <v/>
      </c>
      <c r="G290" s="15" t="n"/>
      <c r="H290" s="17" t="n"/>
      <c r="I290" s="17" t="n"/>
      <c r="J290" s="13">
        <f>IF($B290="","",MONTH($B290))</f>
        <v/>
      </c>
      <c r="K290" s="13">
        <f>IF($B290="","",YEAR($B290))</f>
        <v/>
      </c>
    </row>
    <row r="291">
      <c r="A291" s="18">
        <f>IF($B291="","",ROW()-9)</f>
        <v/>
      </c>
      <c r="B291" s="19" t="n"/>
      <c r="C291" s="4" t="n"/>
      <c r="D291" s="4" t="n"/>
      <c r="E291" s="4" t="n"/>
      <c r="F291" s="4">
        <f>IF($E291="","",IFERROR(VLOOKUP($E291,AKUN!$A$2:$B$200,2,FALSE),"Kode tidak ditemukan"))</f>
        <v/>
      </c>
      <c r="G291" s="4" t="n"/>
      <c r="H291" s="9" t="n"/>
      <c r="I291" s="9" t="n"/>
      <c r="J291" s="18">
        <f>IF($B291="","",MONTH($B291))</f>
        <v/>
      </c>
      <c r="K291" s="18">
        <f>IF($B291="","",YEAR($B291))</f>
        <v/>
      </c>
    </row>
    <row r="292">
      <c r="A292" s="13">
        <f>IF($B292="","",ROW()-9)</f>
        <v/>
      </c>
      <c r="B292" s="14" t="n"/>
      <c r="C292" s="15" t="n"/>
      <c r="D292" s="15" t="n"/>
      <c r="E292" s="15" t="n"/>
      <c r="F292" s="15">
        <f>IF($E292="","",IFERROR(VLOOKUP($E292,AKUN!$A$2:$B$200,2,FALSE),"Kode tidak ditemukan"))</f>
        <v/>
      </c>
      <c r="G292" s="15" t="n"/>
      <c r="H292" s="17" t="n"/>
      <c r="I292" s="17" t="n"/>
      <c r="J292" s="13">
        <f>IF($B292="","",MONTH($B292))</f>
        <v/>
      </c>
      <c r="K292" s="13">
        <f>IF($B292="","",YEAR($B292))</f>
        <v/>
      </c>
    </row>
    <row r="293">
      <c r="A293" s="18">
        <f>IF($B293="","",ROW()-9)</f>
        <v/>
      </c>
      <c r="B293" s="19" t="n"/>
      <c r="C293" s="4" t="n"/>
      <c r="D293" s="4" t="n"/>
      <c r="E293" s="4" t="n"/>
      <c r="F293" s="4">
        <f>IF($E293="","",IFERROR(VLOOKUP($E293,AKUN!$A$2:$B$200,2,FALSE),"Kode tidak ditemukan"))</f>
        <v/>
      </c>
      <c r="G293" s="4" t="n"/>
      <c r="H293" s="9" t="n"/>
      <c r="I293" s="9" t="n"/>
      <c r="J293" s="18">
        <f>IF($B293="","",MONTH($B293))</f>
        <v/>
      </c>
      <c r="K293" s="18">
        <f>IF($B293="","",YEAR($B293))</f>
        <v/>
      </c>
    </row>
    <row r="294">
      <c r="A294" s="13">
        <f>IF($B294="","",ROW()-9)</f>
        <v/>
      </c>
      <c r="B294" s="14" t="n"/>
      <c r="C294" s="15" t="n"/>
      <c r="D294" s="15" t="n"/>
      <c r="E294" s="15" t="n"/>
      <c r="F294" s="15">
        <f>IF($E294="","",IFERROR(VLOOKUP($E294,AKUN!$A$2:$B$200,2,FALSE),"Kode tidak ditemukan"))</f>
        <v/>
      </c>
      <c r="G294" s="15" t="n"/>
      <c r="H294" s="17" t="n"/>
      <c r="I294" s="17" t="n"/>
      <c r="J294" s="13">
        <f>IF($B294="","",MONTH($B294))</f>
        <v/>
      </c>
      <c r="K294" s="13">
        <f>IF($B294="","",YEAR($B294))</f>
        <v/>
      </c>
    </row>
    <row r="295">
      <c r="A295" s="18">
        <f>IF($B295="","",ROW()-9)</f>
        <v/>
      </c>
      <c r="B295" s="19" t="n"/>
      <c r="C295" s="4" t="n"/>
      <c r="D295" s="4" t="n"/>
      <c r="E295" s="4" t="n"/>
      <c r="F295" s="4">
        <f>IF($E295="","",IFERROR(VLOOKUP($E295,AKUN!$A$2:$B$200,2,FALSE),"Kode tidak ditemukan"))</f>
        <v/>
      </c>
      <c r="G295" s="4" t="n"/>
      <c r="H295" s="9" t="n"/>
      <c r="I295" s="9" t="n"/>
      <c r="J295" s="18">
        <f>IF($B295="","",MONTH($B295))</f>
        <v/>
      </c>
      <c r="K295" s="18">
        <f>IF($B295="","",YEAR($B295))</f>
        <v/>
      </c>
    </row>
    <row r="296">
      <c r="A296" s="13">
        <f>IF($B296="","",ROW()-9)</f>
        <v/>
      </c>
      <c r="B296" s="14" t="n"/>
      <c r="C296" s="15" t="n"/>
      <c r="D296" s="15" t="n"/>
      <c r="E296" s="15" t="n"/>
      <c r="F296" s="15">
        <f>IF($E296="","",IFERROR(VLOOKUP($E296,AKUN!$A$2:$B$200,2,FALSE),"Kode tidak ditemukan"))</f>
        <v/>
      </c>
      <c r="G296" s="15" t="n"/>
      <c r="H296" s="17" t="n"/>
      <c r="I296" s="17" t="n"/>
      <c r="J296" s="13">
        <f>IF($B296="","",MONTH($B296))</f>
        <v/>
      </c>
      <c r="K296" s="13">
        <f>IF($B296="","",YEAR($B296))</f>
        <v/>
      </c>
    </row>
    <row r="297">
      <c r="A297" s="18">
        <f>IF($B297="","",ROW()-9)</f>
        <v/>
      </c>
      <c r="B297" s="19" t="n"/>
      <c r="C297" s="4" t="n"/>
      <c r="D297" s="4" t="n"/>
      <c r="E297" s="4" t="n"/>
      <c r="F297" s="4">
        <f>IF($E297="","",IFERROR(VLOOKUP($E297,AKUN!$A$2:$B$200,2,FALSE),"Kode tidak ditemukan"))</f>
        <v/>
      </c>
      <c r="G297" s="4" t="n"/>
      <c r="H297" s="9" t="n"/>
      <c r="I297" s="9" t="n"/>
      <c r="J297" s="18">
        <f>IF($B297="","",MONTH($B297))</f>
        <v/>
      </c>
      <c r="K297" s="18">
        <f>IF($B297="","",YEAR($B297))</f>
        <v/>
      </c>
    </row>
    <row r="298">
      <c r="A298" s="13">
        <f>IF($B298="","",ROW()-9)</f>
        <v/>
      </c>
      <c r="B298" s="14" t="n"/>
      <c r="C298" s="15" t="n"/>
      <c r="D298" s="15" t="n"/>
      <c r="E298" s="15" t="n"/>
      <c r="F298" s="15">
        <f>IF($E298="","",IFERROR(VLOOKUP($E298,AKUN!$A$2:$B$200,2,FALSE),"Kode tidak ditemukan"))</f>
        <v/>
      </c>
      <c r="G298" s="15" t="n"/>
      <c r="H298" s="17" t="n"/>
      <c r="I298" s="17" t="n"/>
      <c r="J298" s="13">
        <f>IF($B298="","",MONTH($B298))</f>
        <v/>
      </c>
      <c r="K298" s="13">
        <f>IF($B298="","",YEAR($B298))</f>
        <v/>
      </c>
    </row>
    <row r="299">
      <c r="A299" s="18">
        <f>IF($B299="","",ROW()-9)</f>
        <v/>
      </c>
      <c r="B299" s="19" t="n"/>
      <c r="C299" s="4" t="n"/>
      <c r="D299" s="4" t="n"/>
      <c r="E299" s="4" t="n"/>
      <c r="F299" s="4">
        <f>IF($E299="","",IFERROR(VLOOKUP($E299,AKUN!$A$2:$B$200,2,FALSE),"Kode tidak ditemukan"))</f>
        <v/>
      </c>
      <c r="G299" s="4" t="n"/>
      <c r="H299" s="9" t="n"/>
      <c r="I299" s="9" t="n"/>
      <c r="J299" s="18">
        <f>IF($B299="","",MONTH($B299))</f>
        <v/>
      </c>
      <c r="K299" s="18">
        <f>IF($B299="","",YEAR($B299))</f>
        <v/>
      </c>
    </row>
    <row r="300">
      <c r="A300" s="13">
        <f>IF($B300="","",ROW()-9)</f>
        <v/>
      </c>
      <c r="B300" s="14" t="n"/>
      <c r="C300" s="15" t="n"/>
      <c r="D300" s="15" t="n"/>
      <c r="E300" s="15" t="n"/>
      <c r="F300" s="15">
        <f>IF($E300="","",IFERROR(VLOOKUP($E300,AKUN!$A$2:$B$200,2,FALSE),"Kode tidak ditemukan"))</f>
        <v/>
      </c>
      <c r="G300" s="15" t="n"/>
      <c r="H300" s="17" t="n"/>
      <c r="I300" s="17" t="n"/>
      <c r="J300" s="13">
        <f>IF($B300="","",MONTH($B300))</f>
        <v/>
      </c>
      <c r="K300" s="13">
        <f>IF($B300="","",YEAR($B300))</f>
        <v/>
      </c>
    </row>
    <row r="301">
      <c r="A301" s="18">
        <f>IF($B301="","",ROW()-9)</f>
        <v/>
      </c>
      <c r="B301" s="19" t="n"/>
      <c r="C301" s="4" t="n"/>
      <c r="D301" s="4" t="n"/>
      <c r="E301" s="4" t="n"/>
      <c r="F301" s="4">
        <f>IF($E301="","",IFERROR(VLOOKUP($E301,AKUN!$A$2:$B$200,2,FALSE),"Kode tidak ditemukan"))</f>
        <v/>
      </c>
      <c r="G301" s="4" t="n"/>
      <c r="H301" s="9" t="n"/>
      <c r="I301" s="9" t="n"/>
      <c r="J301" s="18">
        <f>IF($B301="","",MONTH($B301))</f>
        <v/>
      </c>
      <c r="K301" s="18">
        <f>IF($B301="","",YEAR($B301))</f>
        <v/>
      </c>
    </row>
    <row r="302">
      <c r="A302" s="13">
        <f>IF($B302="","",ROW()-9)</f>
        <v/>
      </c>
      <c r="B302" s="14" t="n"/>
      <c r="C302" s="15" t="n"/>
      <c r="D302" s="15" t="n"/>
      <c r="E302" s="15" t="n"/>
      <c r="F302" s="15">
        <f>IF($E302="","",IFERROR(VLOOKUP($E302,AKUN!$A$2:$B$200,2,FALSE),"Kode tidak ditemukan"))</f>
        <v/>
      </c>
      <c r="G302" s="15" t="n"/>
      <c r="H302" s="17" t="n"/>
      <c r="I302" s="17" t="n"/>
      <c r="J302" s="13">
        <f>IF($B302="","",MONTH($B302))</f>
        <v/>
      </c>
      <c r="K302" s="13">
        <f>IF($B302="","",YEAR($B302))</f>
        <v/>
      </c>
    </row>
    <row r="303">
      <c r="A303" s="18">
        <f>IF($B303="","",ROW()-9)</f>
        <v/>
      </c>
      <c r="B303" s="19" t="n"/>
      <c r="C303" s="4" t="n"/>
      <c r="D303" s="4" t="n"/>
      <c r="E303" s="4" t="n"/>
      <c r="F303" s="4">
        <f>IF($E303="","",IFERROR(VLOOKUP($E303,AKUN!$A$2:$B$200,2,FALSE),"Kode tidak ditemukan"))</f>
        <v/>
      </c>
      <c r="G303" s="4" t="n"/>
      <c r="H303" s="9" t="n"/>
      <c r="I303" s="9" t="n"/>
      <c r="J303" s="18">
        <f>IF($B303="","",MONTH($B303))</f>
        <v/>
      </c>
      <c r="K303" s="18">
        <f>IF($B303="","",YEAR($B303))</f>
        <v/>
      </c>
    </row>
    <row r="304">
      <c r="A304" s="13">
        <f>IF($B304="","",ROW()-9)</f>
        <v/>
      </c>
      <c r="B304" s="14" t="n"/>
      <c r="C304" s="15" t="n"/>
      <c r="D304" s="15" t="n"/>
      <c r="E304" s="15" t="n"/>
      <c r="F304" s="15">
        <f>IF($E304="","",IFERROR(VLOOKUP($E304,AKUN!$A$2:$B$200,2,FALSE),"Kode tidak ditemukan"))</f>
        <v/>
      </c>
      <c r="G304" s="15" t="n"/>
      <c r="H304" s="17" t="n"/>
      <c r="I304" s="17" t="n"/>
      <c r="J304" s="13">
        <f>IF($B304="","",MONTH($B304))</f>
        <v/>
      </c>
      <c r="K304" s="13">
        <f>IF($B304="","",YEAR($B304))</f>
        <v/>
      </c>
    </row>
    <row r="305">
      <c r="A305" s="18">
        <f>IF($B305="","",ROW()-9)</f>
        <v/>
      </c>
      <c r="B305" s="19" t="n"/>
      <c r="C305" s="4" t="n"/>
      <c r="D305" s="4" t="n"/>
      <c r="E305" s="4" t="n"/>
      <c r="F305" s="4">
        <f>IF($E305="","",IFERROR(VLOOKUP($E305,AKUN!$A$2:$B$200,2,FALSE),"Kode tidak ditemukan"))</f>
        <v/>
      </c>
      <c r="G305" s="4" t="n"/>
      <c r="H305" s="9" t="n"/>
      <c r="I305" s="9" t="n"/>
      <c r="J305" s="18">
        <f>IF($B305="","",MONTH($B305))</f>
        <v/>
      </c>
      <c r="K305" s="18">
        <f>IF($B305="","",YEAR($B305))</f>
        <v/>
      </c>
    </row>
    <row r="306">
      <c r="A306" s="13">
        <f>IF($B306="","",ROW()-9)</f>
        <v/>
      </c>
      <c r="B306" s="14" t="n"/>
      <c r="C306" s="15" t="n"/>
      <c r="D306" s="15" t="n"/>
      <c r="E306" s="15" t="n"/>
      <c r="F306" s="15">
        <f>IF($E306="","",IFERROR(VLOOKUP($E306,AKUN!$A$2:$B$200,2,FALSE),"Kode tidak ditemukan"))</f>
        <v/>
      </c>
      <c r="G306" s="15" t="n"/>
      <c r="H306" s="17" t="n"/>
      <c r="I306" s="17" t="n"/>
      <c r="J306" s="13">
        <f>IF($B306="","",MONTH($B306))</f>
        <v/>
      </c>
      <c r="K306" s="13">
        <f>IF($B306="","",YEAR($B306))</f>
        <v/>
      </c>
    </row>
    <row r="307">
      <c r="A307" s="18">
        <f>IF($B307="","",ROW()-9)</f>
        <v/>
      </c>
      <c r="B307" s="19" t="n"/>
      <c r="C307" s="4" t="n"/>
      <c r="D307" s="4" t="n"/>
      <c r="E307" s="4" t="n"/>
      <c r="F307" s="4">
        <f>IF($E307="","",IFERROR(VLOOKUP($E307,AKUN!$A$2:$B$200,2,FALSE),"Kode tidak ditemukan"))</f>
        <v/>
      </c>
      <c r="G307" s="4" t="n"/>
      <c r="H307" s="9" t="n"/>
      <c r="I307" s="9" t="n"/>
      <c r="J307" s="18">
        <f>IF($B307="","",MONTH($B307))</f>
        <v/>
      </c>
      <c r="K307" s="18">
        <f>IF($B307="","",YEAR($B307))</f>
        <v/>
      </c>
    </row>
    <row r="308">
      <c r="A308" s="13">
        <f>IF($B308="","",ROW()-9)</f>
        <v/>
      </c>
      <c r="B308" s="14" t="n"/>
      <c r="C308" s="15" t="n"/>
      <c r="D308" s="15" t="n"/>
      <c r="E308" s="15" t="n"/>
      <c r="F308" s="15">
        <f>IF($E308="","",IFERROR(VLOOKUP($E308,AKUN!$A$2:$B$200,2,FALSE),"Kode tidak ditemukan"))</f>
        <v/>
      </c>
      <c r="G308" s="15" t="n"/>
      <c r="H308" s="17" t="n"/>
      <c r="I308" s="17" t="n"/>
      <c r="J308" s="13">
        <f>IF($B308="","",MONTH($B308))</f>
        <v/>
      </c>
      <c r="K308" s="13">
        <f>IF($B308="","",YEAR($B308))</f>
        <v/>
      </c>
    </row>
    <row r="309">
      <c r="A309" s="18">
        <f>IF($B309="","",ROW()-9)</f>
        <v/>
      </c>
      <c r="B309" s="19" t="n"/>
      <c r="C309" s="4" t="n"/>
      <c r="D309" s="4" t="n"/>
      <c r="E309" s="4" t="n"/>
      <c r="F309" s="4">
        <f>IF($E309="","",IFERROR(VLOOKUP($E309,AKUN!$A$2:$B$200,2,FALSE),"Kode tidak ditemukan"))</f>
        <v/>
      </c>
      <c r="G309" s="4" t="n"/>
      <c r="H309" s="9" t="n"/>
      <c r="I309" s="9" t="n"/>
      <c r="J309" s="18">
        <f>IF($B309="","",MONTH($B309))</f>
        <v/>
      </c>
      <c r="K309" s="18">
        <f>IF($B309="","",YEAR($B309))</f>
        <v/>
      </c>
    </row>
    <row r="310">
      <c r="A310" s="13">
        <f>IF($B310="","",ROW()-9)</f>
        <v/>
      </c>
      <c r="B310" s="14" t="n"/>
      <c r="C310" s="15" t="n"/>
      <c r="D310" s="15" t="n"/>
      <c r="E310" s="15" t="n"/>
      <c r="F310" s="15">
        <f>IF($E310="","",IFERROR(VLOOKUP($E310,AKUN!$A$2:$B$200,2,FALSE),"Kode tidak ditemukan"))</f>
        <v/>
      </c>
      <c r="G310" s="15" t="n"/>
      <c r="H310" s="17" t="n"/>
      <c r="I310" s="17" t="n"/>
      <c r="J310" s="13">
        <f>IF($B310="","",MONTH($B310))</f>
        <v/>
      </c>
      <c r="K310" s="13">
        <f>IF($B310="","",YEAR($B310))</f>
        <v/>
      </c>
    </row>
    <row r="311">
      <c r="A311" s="18">
        <f>IF($B311="","",ROW()-9)</f>
        <v/>
      </c>
      <c r="B311" s="19" t="n"/>
      <c r="C311" s="4" t="n"/>
      <c r="D311" s="4" t="n"/>
      <c r="E311" s="4" t="n"/>
      <c r="F311" s="4">
        <f>IF($E311="","",IFERROR(VLOOKUP($E311,AKUN!$A$2:$B$200,2,FALSE),"Kode tidak ditemukan"))</f>
        <v/>
      </c>
      <c r="G311" s="4" t="n"/>
      <c r="H311" s="9" t="n"/>
      <c r="I311" s="9" t="n"/>
      <c r="J311" s="18">
        <f>IF($B311="","",MONTH($B311))</f>
        <v/>
      </c>
      <c r="K311" s="18">
        <f>IF($B311="","",YEAR($B311))</f>
        <v/>
      </c>
    </row>
    <row r="312">
      <c r="A312" s="13">
        <f>IF($B312="","",ROW()-9)</f>
        <v/>
      </c>
      <c r="B312" s="14" t="n"/>
      <c r="C312" s="15" t="n"/>
      <c r="D312" s="15" t="n"/>
      <c r="E312" s="15" t="n"/>
      <c r="F312" s="15">
        <f>IF($E312="","",IFERROR(VLOOKUP($E312,AKUN!$A$2:$B$200,2,FALSE),"Kode tidak ditemukan"))</f>
        <v/>
      </c>
      <c r="G312" s="15" t="n"/>
      <c r="H312" s="17" t="n"/>
      <c r="I312" s="17" t="n"/>
      <c r="J312" s="13">
        <f>IF($B312="","",MONTH($B312))</f>
        <v/>
      </c>
      <c r="K312" s="13">
        <f>IF($B312="","",YEAR($B312))</f>
        <v/>
      </c>
    </row>
    <row r="313">
      <c r="A313" s="18">
        <f>IF($B313="","",ROW()-9)</f>
        <v/>
      </c>
      <c r="B313" s="19" t="n"/>
      <c r="C313" s="4" t="n"/>
      <c r="D313" s="4" t="n"/>
      <c r="E313" s="4" t="n"/>
      <c r="F313" s="4">
        <f>IF($E313="","",IFERROR(VLOOKUP($E313,AKUN!$A$2:$B$200,2,FALSE),"Kode tidak ditemukan"))</f>
        <v/>
      </c>
      <c r="G313" s="4" t="n"/>
      <c r="H313" s="9" t="n"/>
      <c r="I313" s="9" t="n"/>
      <c r="J313" s="18">
        <f>IF($B313="","",MONTH($B313))</f>
        <v/>
      </c>
      <c r="K313" s="18">
        <f>IF($B313="","",YEAR($B313))</f>
        <v/>
      </c>
    </row>
    <row r="314">
      <c r="A314" s="13">
        <f>IF($B314="","",ROW()-9)</f>
        <v/>
      </c>
      <c r="B314" s="14" t="n"/>
      <c r="C314" s="15" t="n"/>
      <c r="D314" s="15" t="n"/>
      <c r="E314" s="15" t="n"/>
      <c r="F314" s="15">
        <f>IF($E314="","",IFERROR(VLOOKUP($E314,AKUN!$A$2:$B$200,2,FALSE),"Kode tidak ditemukan"))</f>
        <v/>
      </c>
      <c r="G314" s="15" t="n"/>
      <c r="H314" s="17" t="n"/>
      <c r="I314" s="17" t="n"/>
      <c r="J314" s="13">
        <f>IF($B314="","",MONTH($B314))</f>
        <v/>
      </c>
      <c r="K314" s="13">
        <f>IF($B314="","",YEAR($B314))</f>
        <v/>
      </c>
    </row>
    <row r="315">
      <c r="A315" s="18">
        <f>IF($B315="","",ROW()-9)</f>
        <v/>
      </c>
      <c r="B315" s="19" t="n"/>
      <c r="C315" s="4" t="n"/>
      <c r="D315" s="4" t="n"/>
      <c r="E315" s="4" t="n"/>
      <c r="F315" s="4">
        <f>IF($E315="","",IFERROR(VLOOKUP($E315,AKUN!$A$2:$B$200,2,FALSE),"Kode tidak ditemukan"))</f>
        <v/>
      </c>
      <c r="G315" s="4" t="n"/>
      <c r="H315" s="9" t="n"/>
      <c r="I315" s="9" t="n"/>
      <c r="J315" s="18">
        <f>IF($B315="","",MONTH($B315))</f>
        <v/>
      </c>
      <c r="K315" s="18">
        <f>IF($B315="","",YEAR($B315))</f>
        <v/>
      </c>
    </row>
    <row r="316">
      <c r="A316" s="13">
        <f>IF($B316="","",ROW()-9)</f>
        <v/>
      </c>
      <c r="B316" s="14" t="n"/>
      <c r="C316" s="15" t="n"/>
      <c r="D316" s="15" t="n"/>
      <c r="E316" s="15" t="n"/>
      <c r="F316" s="15">
        <f>IF($E316="","",IFERROR(VLOOKUP($E316,AKUN!$A$2:$B$200,2,FALSE),"Kode tidak ditemukan"))</f>
        <v/>
      </c>
      <c r="G316" s="15" t="n"/>
      <c r="H316" s="17" t="n"/>
      <c r="I316" s="17" t="n"/>
      <c r="J316" s="13">
        <f>IF($B316="","",MONTH($B316))</f>
        <v/>
      </c>
      <c r="K316" s="13">
        <f>IF($B316="","",YEAR($B316))</f>
        <v/>
      </c>
    </row>
    <row r="317">
      <c r="A317" s="18">
        <f>IF($B317="","",ROW()-9)</f>
        <v/>
      </c>
      <c r="B317" s="19" t="n"/>
      <c r="C317" s="4" t="n"/>
      <c r="D317" s="4" t="n"/>
      <c r="E317" s="4" t="n"/>
      <c r="F317" s="4">
        <f>IF($E317="","",IFERROR(VLOOKUP($E317,AKUN!$A$2:$B$200,2,FALSE),"Kode tidak ditemukan"))</f>
        <v/>
      </c>
      <c r="G317" s="4" t="n"/>
      <c r="H317" s="9" t="n"/>
      <c r="I317" s="9" t="n"/>
      <c r="J317" s="18">
        <f>IF($B317="","",MONTH($B317))</f>
        <v/>
      </c>
      <c r="K317" s="18">
        <f>IF($B317="","",YEAR($B317))</f>
        <v/>
      </c>
    </row>
    <row r="318">
      <c r="A318" s="13">
        <f>IF($B318="","",ROW()-9)</f>
        <v/>
      </c>
      <c r="B318" s="14" t="n"/>
      <c r="C318" s="15" t="n"/>
      <c r="D318" s="15" t="n"/>
      <c r="E318" s="15" t="n"/>
      <c r="F318" s="15">
        <f>IF($E318="","",IFERROR(VLOOKUP($E318,AKUN!$A$2:$B$200,2,FALSE),"Kode tidak ditemukan"))</f>
        <v/>
      </c>
      <c r="G318" s="15" t="n"/>
      <c r="H318" s="17" t="n"/>
      <c r="I318" s="17" t="n"/>
      <c r="J318" s="13">
        <f>IF($B318="","",MONTH($B318))</f>
        <v/>
      </c>
      <c r="K318" s="13">
        <f>IF($B318="","",YEAR($B318))</f>
        <v/>
      </c>
    </row>
    <row r="319">
      <c r="A319" s="18">
        <f>IF($B319="","",ROW()-9)</f>
        <v/>
      </c>
      <c r="B319" s="19" t="n"/>
      <c r="C319" s="4" t="n"/>
      <c r="D319" s="4" t="n"/>
      <c r="E319" s="4" t="n"/>
      <c r="F319" s="4">
        <f>IF($E319="","",IFERROR(VLOOKUP($E319,AKUN!$A$2:$B$200,2,FALSE),"Kode tidak ditemukan"))</f>
        <v/>
      </c>
      <c r="G319" s="4" t="n"/>
      <c r="H319" s="9" t="n"/>
      <c r="I319" s="9" t="n"/>
      <c r="J319" s="18">
        <f>IF($B319="","",MONTH($B319))</f>
        <v/>
      </c>
      <c r="K319" s="18">
        <f>IF($B319="","",YEAR($B319))</f>
        <v/>
      </c>
    </row>
    <row r="320">
      <c r="A320" s="13">
        <f>IF($B320="","",ROW()-9)</f>
        <v/>
      </c>
      <c r="B320" s="14" t="n"/>
      <c r="C320" s="15" t="n"/>
      <c r="D320" s="15" t="n"/>
      <c r="E320" s="15" t="n"/>
      <c r="F320" s="15">
        <f>IF($E320="","",IFERROR(VLOOKUP($E320,AKUN!$A$2:$B$200,2,FALSE),"Kode tidak ditemukan"))</f>
        <v/>
      </c>
      <c r="G320" s="15" t="n"/>
      <c r="H320" s="17" t="n"/>
      <c r="I320" s="17" t="n"/>
      <c r="J320" s="13">
        <f>IF($B320="","",MONTH($B320))</f>
        <v/>
      </c>
      <c r="K320" s="13">
        <f>IF($B320="","",YEAR($B320))</f>
        <v/>
      </c>
    </row>
    <row r="321">
      <c r="A321" s="18">
        <f>IF($B321="","",ROW()-9)</f>
        <v/>
      </c>
      <c r="B321" s="19" t="n"/>
      <c r="C321" s="4" t="n"/>
      <c r="D321" s="4" t="n"/>
      <c r="E321" s="4" t="n"/>
      <c r="F321" s="4">
        <f>IF($E321="","",IFERROR(VLOOKUP($E321,AKUN!$A$2:$B$200,2,FALSE),"Kode tidak ditemukan"))</f>
        <v/>
      </c>
      <c r="G321" s="4" t="n"/>
      <c r="H321" s="9" t="n"/>
      <c r="I321" s="9" t="n"/>
      <c r="J321" s="18">
        <f>IF($B321="","",MONTH($B321))</f>
        <v/>
      </c>
      <c r="K321" s="18">
        <f>IF($B321="","",YEAR($B321))</f>
        <v/>
      </c>
    </row>
    <row r="322">
      <c r="A322" s="13">
        <f>IF($B322="","",ROW()-9)</f>
        <v/>
      </c>
      <c r="B322" s="14" t="n"/>
      <c r="C322" s="15" t="n"/>
      <c r="D322" s="15" t="n"/>
      <c r="E322" s="15" t="n"/>
      <c r="F322" s="15">
        <f>IF($E322="","",IFERROR(VLOOKUP($E322,AKUN!$A$2:$B$200,2,FALSE),"Kode tidak ditemukan"))</f>
        <v/>
      </c>
      <c r="G322" s="15" t="n"/>
      <c r="H322" s="17" t="n"/>
      <c r="I322" s="17" t="n"/>
      <c r="J322" s="13">
        <f>IF($B322="","",MONTH($B322))</f>
        <v/>
      </c>
      <c r="K322" s="13">
        <f>IF($B322="","",YEAR($B322))</f>
        <v/>
      </c>
    </row>
    <row r="323">
      <c r="A323" s="18">
        <f>IF($B323="","",ROW()-9)</f>
        <v/>
      </c>
      <c r="B323" s="19" t="n"/>
      <c r="C323" s="4" t="n"/>
      <c r="D323" s="4" t="n"/>
      <c r="E323" s="4" t="n"/>
      <c r="F323" s="4">
        <f>IF($E323="","",IFERROR(VLOOKUP($E323,AKUN!$A$2:$B$200,2,FALSE),"Kode tidak ditemukan"))</f>
        <v/>
      </c>
      <c r="G323" s="4" t="n"/>
      <c r="H323" s="9" t="n"/>
      <c r="I323" s="9" t="n"/>
      <c r="J323" s="18">
        <f>IF($B323="","",MONTH($B323))</f>
        <v/>
      </c>
      <c r="K323" s="18">
        <f>IF($B323="","",YEAR($B323))</f>
        <v/>
      </c>
    </row>
    <row r="324">
      <c r="A324" s="13">
        <f>IF($B324="","",ROW()-9)</f>
        <v/>
      </c>
      <c r="B324" s="14" t="n"/>
      <c r="C324" s="15" t="n"/>
      <c r="D324" s="15" t="n"/>
      <c r="E324" s="15" t="n"/>
      <c r="F324" s="15">
        <f>IF($E324="","",IFERROR(VLOOKUP($E324,AKUN!$A$2:$B$200,2,FALSE),"Kode tidak ditemukan"))</f>
        <v/>
      </c>
      <c r="G324" s="15" t="n"/>
      <c r="H324" s="17" t="n"/>
      <c r="I324" s="17" t="n"/>
      <c r="J324" s="13">
        <f>IF($B324="","",MONTH($B324))</f>
        <v/>
      </c>
      <c r="K324" s="13">
        <f>IF($B324="","",YEAR($B324))</f>
        <v/>
      </c>
    </row>
    <row r="325">
      <c r="A325" s="18">
        <f>IF($B325="","",ROW()-9)</f>
        <v/>
      </c>
      <c r="B325" s="19" t="n"/>
      <c r="C325" s="4" t="n"/>
      <c r="D325" s="4" t="n"/>
      <c r="E325" s="4" t="n"/>
      <c r="F325" s="4">
        <f>IF($E325="","",IFERROR(VLOOKUP($E325,AKUN!$A$2:$B$200,2,FALSE),"Kode tidak ditemukan"))</f>
        <v/>
      </c>
      <c r="G325" s="4" t="n"/>
      <c r="H325" s="9" t="n"/>
      <c r="I325" s="9" t="n"/>
      <c r="J325" s="18">
        <f>IF($B325="","",MONTH($B325))</f>
        <v/>
      </c>
      <c r="K325" s="18">
        <f>IF($B325="","",YEAR($B325))</f>
        <v/>
      </c>
    </row>
    <row r="326">
      <c r="A326" s="13">
        <f>IF($B326="","",ROW()-9)</f>
        <v/>
      </c>
      <c r="B326" s="14" t="n"/>
      <c r="C326" s="15" t="n"/>
      <c r="D326" s="15" t="n"/>
      <c r="E326" s="15" t="n"/>
      <c r="F326" s="15">
        <f>IF($E326="","",IFERROR(VLOOKUP($E326,AKUN!$A$2:$B$200,2,FALSE),"Kode tidak ditemukan"))</f>
        <v/>
      </c>
      <c r="G326" s="15" t="n"/>
      <c r="H326" s="17" t="n"/>
      <c r="I326" s="17" t="n"/>
      <c r="J326" s="13">
        <f>IF($B326="","",MONTH($B326))</f>
        <v/>
      </c>
      <c r="K326" s="13">
        <f>IF($B326="","",YEAR($B326))</f>
        <v/>
      </c>
    </row>
    <row r="327">
      <c r="A327" s="18">
        <f>IF($B327="","",ROW()-9)</f>
        <v/>
      </c>
      <c r="B327" s="19" t="n"/>
      <c r="C327" s="4" t="n"/>
      <c r="D327" s="4" t="n"/>
      <c r="E327" s="4" t="n"/>
      <c r="F327" s="4">
        <f>IF($E327="","",IFERROR(VLOOKUP($E327,AKUN!$A$2:$B$200,2,FALSE),"Kode tidak ditemukan"))</f>
        <v/>
      </c>
      <c r="G327" s="4" t="n"/>
      <c r="H327" s="9" t="n"/>
      <c r="I327" s="9" t="n"/>
      <c r="J327" s="18">
        <f>IF($B327="","",MONTH($B327))</f>
        <v/>
      </c>
      <c r="K327" s="18">
        <f>IF($B327="","",YEAR($B327))</f>
        <v/>
      </c>
    </row>
    <row r="328">
      <c r="A328" s="13">
        <f>IF($B328="","",ROW()-9)</f>
        <v/>
      </c>
      <c r="B328" s="14" t="n"/>
      <c r="C328" s="15" t="n"/>
      <c r="D328" s="15" t="n"/>
      <c r="E328" s="15" t="n"/>
      <c r="F328" s="15">
        <f>IF($E328="","",IFERROR(VLOOKUP($E328,AKUN!$A$2:$B$200,2,FALSE),"Kode tidak ditemukan"))</f>
        <v/>
      </c>
      <c r="G328" s="15" t="n"/>
      <c r="H328" s="17" t="n"/>
      <c r="I328" s="17" t="n"/>
      <c r="J328" s="13">
        <f>IF($B328="","",MONTH($B328))</f>
        <v/>
      </c>
      <c r="K328" s="13">
        <f>IF($B328="","",YEAR($B328))</f>
        <v/>
      </c>
    </row>
    <row r="329">
      <c r="A329" s="18">
        <f>IF($B329="","",ROW()-9)</f>
        <v/>
      </c>
      <c r="B329" s="19" t="n"/>
      <c r="C329" s="4" t="n"/>
      <c r="D329" s="4" t="n"/>
      <c r="E329" s="4" t="n"/>
      <c r="F329" s="4">
        <f>IF($E329="","",IFERROR(VLOOKUP($E329,AKUN!$A$2:$B$200,2,FALSE),"Kode tidak ditemukan"))</f>
        <v/>
      </c>
      <c r="G329" s="4" t="n"/>
      <c r="H329" s="9" t="n"/>
      <c r="I329" s="9" t="n"/>
      <c r="J329" s="18">
        <f>IF($B329="","",MONTH($B329))</f>
        <v/>
      </c>
      <c r="K329" s="18">
        <f>IF($B329="","",YEAR($B329))</f>
        <v/>
      </c>
    </row>
    <row r="330">
      <c r="A330" s="13">
        <f>IF($B330="","",ROW()-9)</f>
        <v/>
      </c>
      <c r="B330" s="14" t="n"/>
      <c r="C330" s="15" t="n"/>
      <c r="D330" s="15" t="n"/>
      <c r="E330" s="15" t="n"/>
      <c r="F330" s="15">
        <f>IF($E330="","",IFERROR(VLOOKUP($E330,AKUN!$A$2:$B$200,2,FALSE),"Kode tidak ditemukan"))</f>
        <v/>
      </c>
      <c r="G330" s="15" t="n"/>
      <c r="H330" s="17" t="n"/>
      <c r="I330" s="17" t="n"/>
      <c r="J330" s="13">
        <f>IF($B330="","",MONTH($B330))</f>
        <v/>
      </c>
      <c r="K330" s="13">
        <f>IF($B330="","",YEAR($B330))</f>
        <v/>
      </c>
    </row>
    <row r="331">
      <c r="A331" s="18">
        <f>IF($B331="","",ROW()-9)</f>
        <v/>
      </c>
      <c r="B331" s="19" t="n"/>
      <c r="C331" s="4" t="n"/>
      <c r="D331" s="4" t="n"/>
      <c r="E331" s="4" t="n"/>
      <c r="F331" s="4">
        <f>IF($E331="","",IFERROR(VLOOKUP($E331,AKUN!$A$2:$B$200,2,FALSE),"Kode tidak ditemukan"))</f>
        <v/>
      </c>
      <c r="G331" s="4" t="n"/>
      <c r="H331" s="9" t="n"/>
      <c r="I331" s="9" t="n"/>
      <c r="J331" s="18">
        <f>IF($B331="","",MONTH($B331))</f>
        <v/>
      </c>
      <c r="K331" s="18">
        <f>IF($B331="","",YEAR($B331))</f>
        <v/>
      </c>
    </row>
    <row r="332">
      <c r="A332" s="13">
        <f>IF($B332="","",ROW()-9)</f>
        <v/>
      </c>
      <c r="B332" s="14" t="n"/>
      <c r="C332" s="15" t="n"/>
      <c r="D332" s="15" t="n"/>
      <c r="E332" s="15" t="n"/>
      <c r="F332" s="15">
        <f>IF($E332="","",IFERROR(VLOOKUP($E332,AKUN!$A$2:$B$200,2,FALSE),"Kode tidak ditemukan"))</f>
        <v/>
      </c>
      <c r="G332" s="15" t="n"/>
      <c r="H332" s="17" t="n"/>
      <c r="I332" s="17" t="n"/>
      <c r="J332" s="13">
        <f>IF($B332="","",MONTH($B332))</f>
        <v/>
      </c>
      <c r="K332" s="13">
        <f>IF($B332="","",YEAR($B332))</f>
        <v/>
      </c>
    </row>
    <row r="333">
      <c r="A333" s="18">
        <f>IF($B333="","",ROW()-9)</f>
        <v/>
      </c>
      <c r="B333" s="19" t="n"/>
      <c r="C333" s="4" t="n"/>
      <c r="D333" s="4" t="n"/>
      <c r="E333" s="4" t="n"/>
      <c r="F333" s="4">
        <f>IF($E333="","",IFERROR(VLOOKUP($E333,AKUN!$A$2:$B$200,2,FALSE),"Kode tidak ditemukan"))</f>
        <v/>
      </c>
      <c r="G333" s="4" t="n"/>
      <c r="H333" s="9" t="n"/>
      <c r="I333" s="9" t="n"/>
      <c r="J333" s="18">
        <f>IF($B333="","",MONTH($B333))</f>
        <v/>
      </c>
      <c r="K333" s="18">
        <f>IF($B333="","",YEAR($B333))</f>
        <v/>
      </c>
    </row>
    <row r="334">
      <c r="A334" s="13">
        <f>IF($B334="","",ROW()-9)</f>
        <v/>
      </c>
      <c r="B334" s="14" t="n"/>
      <c r="C334" s="15" t="n"/>
      <c r="D334" s="15" t="n"/>
      <c r="E334" s="15" t="n"/>
      <c r="F334" s="15">
        <f>IF($E334="","",IFERROR(VLOOKUP($E334,AKUN!$A$2:$B$200,2,FALSE),"Kode tidak ditemukan"))</f>
        <v/>
      </c>
      <c r="G334" s="15" t="n"/>
      <c r="H334" s="17" t="n"/>
      <c r="I334" s="17" t="n"/>
      <c r="J334" s="13">
        <f>IF($B334="","",MONTH($B334))</f>
        <v/>
      </c>
      <c r="K334" s="13">
        <f>IF($B334="","",YEAR($B334))</f>
        <v/>
      </c>
    </row>
    <row r="335">
      <c r="A335" s="18">
        <f>IF($B335="","",ROW()-9)</f>
        <v/>
      </c>
      <c r="B335" s="19" t="n"/>
      <c r="C335" s="4" t="n"/>
      <c r="D335" s="4" t="n"/>
      <c r="E335" s="4" t="n"/>
      <c r="F335" s="4">
        <f>IF($E335="","",IFERROR(VLOOKUP($E335,AKUN!$A$2:$B$200,2,FALSE),"Kode tidak ditemukan"))</f>
        <v/>
      </c>
      <c r="G335" s="4" t="n"/>
      <c r="H335" s="9" t="n"/>
      <c r="I335" s="9" t="n"/>
      <c r="J335" s="18">
        <f>IF($B335="","",MONTH($B335))</f>
        <v/>
      </c>
      <c r="K335" s="18">
        <f>IF($B335="","",YEAR($B335))</f>
        <v/>
      </c>
    </row>
    <row r="336">
      <c r="A336" s="13">
        <f>IF($B336="","",ROW()-9)</f>
        <v/>
      </c>
      <c r="B336" s="14" t="n"/>
      <c r="C336" s="15" t="n"/>
      <c r="D336" s="15" t="n"/>
      <c r="E336" s="15" t="n"/>
      <c r="F336" s="15">
        <f>IF($E336="","",IFERROR(VLOOKUP($E336,AKUN!$A$2:$B$200,2,FALSE),"Kode tidak ditemukan"))</f>
        <v/>
      </c>
      <c r="G336" s="15" t="n"/>
      <c r="H336" s="17" t="n"/>
      <c r="I336" s="17" t="n"/>
      <c r="J336" s="13">
        <f>IF($B336="","",MONTH($B336))</f>
        <v/>
      </c>
      <c r="K336" s="13">
        <f>IF($B336="","",YEAR($B336))</f>
        <v/>
      </c>
    </row>
    <row r="337">
      <c r="A337" s="18">
        <f>IF($B337="","",ROW()-9)</f>
        <v/>
      </c>
      <c r="B337" s="19" t="n"/>
      <c r="C337" s="4" t="n"/>
      <c r="D337" s="4" t="n"/>
      <c r="E337" s="4" t="n"/>
      <c r="F337" s="4">
        <f>IF($E337="","",IFERROR(VLOOKUP($E337,AKUN!$A$2:$B$200,2,FALSE),"Kode tidak ditemukan"))</f>
        <v/>
      </c>
      <c r="G337" s="4" t="n"/>
      <c r="H337" s="9" t="n"/>
      <c r="I337" s="9" t="n"/>
      <c r="J337" s="18">
        <f>IF($B337="","",MONTH($B337))</f>
        <v/>
      </c>
      <c r="K337" s="18">
        <f>IF($B337="","",YEAR($B337))</f>
        <v/>
      </c>
    </row>
    <row r="338">
      <c r="A338" s="13">
        <f>IF($B338="","",ROW()-9)</f>
        <v/>
      </c>
      <c r="B338" s="14" t="n"/>
      <c r="C338" s="15" t="n"/>
      <c r="D338" s="15" t="n"/>
      <c r="E338" s="15" t="n"/>
      <c r="F338" s="15">
        <f>IF($E338="","",IFERROR(VLOOKUP($E338,AKUN!$A$2:$B$200,2,FALSE),"Kode tidak ditemukan"))</f>
        <v/>
      </c>
      <c r="G338" s="15" t="n"/>
      <c r="H338" s="17" t="n"/>
      <c r="I338" s="17" t="n"/>
      <c r="J338" s="13">
        <f>IF($B338="","",MONTH($B338))</f>
        <v/>
      </c>
      <c r="K338" s="13">
        <f>IF($B338="","",YEAR($B338))</f>
        <v/>
      </c>
    </row>
    <row r="339">
      <c r="A339" s="18">
        <f>IF($B339="","",ROW()-9)</f>
        <v/>
      </c>
      <c r="B339" s="19" t="n"/>
      <c r="C339" s="4" t="n"/>
      <c r="D339" s="4" t="n"/>
      <c r="E339" s="4" t="n"/>
      <c r="F339" s="4">
        <f>IF($E339="","",IFERROR(VLOOKUP($E339,AKUN!$A$2:$B$200,2,FALSE),"Kode tidak ditemukan"))</f>
        <v/>
      </c>
      <c r="G339" s="4" t="n"/>
      <c r="H339" s="9" t="n"/>
      <c r="I339" s="9" t="n"/>
      <c r="J339" s="18">
        <f>IF($B339="","",MONTH($B339))</f>
        <v/>
      </c>
      <c r="K339" s="18">
        <f>IF($B339="","",YEAR($B339))</f>
        <v/>
      </c>
    </row>
    <row r="340">
      <c r="A340" s="13">
        <f>IF($B340="","",ROW()-9)</f>
        <v/>
      </c>
      <c r="B340" s="14" t="n"/>
      <c r="C340" s="15" t="n"/>
      <c r="D340" s="15" t="n"/>
      <c r="E340" s="15" t="n"/>
      <c r="F340" s="15">
        <f>IF($E340="","",IFERROR(VLOOKUP($E340,AKUN!$A$2:$B$200,2,FALSE),"Kode tidak ditemukan"))</f>
        <v/>
      </c>
      <c r="G340" s="15" t="n"/>
      <c r="H340" s="17" t="n"/>
      <c r="I340" s="17" t="n"/>
      <c r="J340" s="13">
        <f>IF($B340="","",MONTH($B340))</f>
        <v/>
      </c>
      <c r="K340" s="13">
        <f>IF($B340="","",YEAR($B340))</f>
        <v/>
      </c>
    </row>
    <row r="341">
      <c r="A341" s="18">
        <f>IF($B341="","",ROW()-9)</f>
        <v/>
      </c>
      <c r="B341" s="19" t="n"/>
      <c r="C341" s="4" t="n"/>
      <c r="D341" s="4" t="n"/>
      <c r="E341" s="4" t="n"/>
      <c r="F341" s="4">
        <f>IF($E341="","",IFERROR(VLOOKUP($E341,AKUN!$A$2:$B$200,2,FALSE),"Kode tidak ditemukan"))</f>
        <v/>
      </c>
      <c r="G341" s="4" t="n"/>
      <c r="H341" s="9" t="n"/>
      <c r="I341" s="9" t="n"/>
      <c r="J341" s="18">
        <f>IF($B341="","",MONTH($B341))</f>
        <v/>
      </c>
      <c r="K341" s="18">
        <f>IF($B341="","",YEAR($B341))</f>
        <v/>
      </c>
    </row>
    <row r="342">
      <c r="A342" s="13">
        <f>IF($B342="","",ROW()-9)</f>
        <v/>
      </c>
      <c r="B342" s="14" t="n"/>
      <c r="C342" s="15" t="n"/>
      <c r="D342" s="15" t="n"/>
      <c r="E342" s="15" t="n"/>
      <c r="F342" s="15">
        <f>IF($E342="","",IFERROR(VLOOKUP($E342,AKUN!$A$2:$B$200,2,FALSE),"Kode tidak ditemukan"))</f>
        <v/>
      </c>
      <c r="G342" s="15" t="n"/>
      <c r="H342" s="17" t="n"/>
      <c r="I342" s="17" t="n"/>
      <c r="J342" s="13">
        <f>IF($B342="","",MONTH($B342))</f>
        <v/>
      </c>
      <c r="K342" s="13">
        <f>IF($B342="","",YEAR($B342))</f>
        <v/>
      </c>
    </row>
    <row r="343">
      <c r="A343" s="18">
        <f>IF($B343="","",ROW()-9)</f>
        <v/>
      </c>
      <c r="B343" s="19" t="n"/>
      <c r="C343" s="4" t="n"/>
      <c r="D343" s="4" t="n"/>
      <c r="E343" s="4" t="n"/>
      <c r="F343" s="4">
        <f>IF($E343="","",IFERROR(VLOOKUP($E343,AKUN!$A$2:$B$200,2,FALSE),"Kode tidak ditemukan"))</f>
        <v/>
      </c>
      <c r="G343" s="4" t="n"/>
      <c r="H343" s="9" t="n"/>
      <c r="I343" s="9" t="n"/>
      <c r="J343" s="18">
        <f>IF($B343="","",MONTH($B343))</f>
        <v/>
      </c>
      <c r="K343" s="18">
        <f>IF($B343="","",YEAR($B343))</f>
        <v/>
      </c>
    </row>
    <row r="344">
      <c r="A344" s="13">
        <f>IF($B344="","",ROW()-9)</f>
        <v/>
      </c>
      <c r="B344" s="14" t="n"/>
      <c r="C344" s="15" t="n"/>
      <c r="D344" s="15" t="n"/>
      <c r="E344" s="15" t="n"/>
      <c r="F344" s="15">
        <f>IF($E344="","",IFERROR(VLOOKUP($E344,AKUN!$A$2:$B$200,2,FALSE),"Kode tidak ditemukan"))</f>
        <v/>
      </c>
      <c r="G344" s="15" t="n"/>
      <c r="H344" s="17" t="n"/>
      <c r="I344" s="17" t="n"/>
      <c r="J344" s="13">
        <f>IF($B344="","",MONTH($B344))</f>
        <v/>
      </c>
      <c r="K344" s="13">
        <f>IF($B344="","",YEAR($B344))</f>
        <v/>
      </c>
    </row>
    <row r="345">
      <c r="A345" s="18">
        <f>IF($B345="","",ROW()-9)</f>
        <v/>
      </c>
      <c r="B345" s="19" t="n"/>
      <c r="C345" s="4" t="n"/>
      <c r="D345" s="4" t="n"/>
      <c r="E345" s="4" t="n"/>
      <c r="F345" s="4">
        <f>IF($E345="","",IFERROR(VLOOKUP($E345,AKUN!$A$2:$B$200,2,FALSE),"Kode tidak ditemukan"))</f>
        <v/>
      </c>
      <c r="G345" s="4" t="n"/>
      <c r="H345" s="9" t="n"/>
      <c r="I345" s="9" t="n"/>
      <c r="J345" s="18">
        <f>IF($B345="","",MONTH($B345))</f>
        <v/>
      </c>
      <c r="K345" s="18">
        <f>IF($B345="","",YEAR($B345))</f>
        <v/>
      </c>
    </row>
    <row r="346">
      <c r="A346" s="13">
        <f>IF($B346="","",ROW()-9)</f>
        <v/>
      </c>
      <c r="B346" s="14" t="n"/>
      <c r="C346" s="15" t="n"/>
      <c r="D346" s="15" t="n"/>
      <c r="E346" s="15" t="n"/>
      <c r="F346" s="15">
        <f>IF($E346="","",IFERROR(VLOOKUP($E346,AKUN!$A$2:$B$200,2,FALSE),"Kode tidak ditemukan"))</f>
        <v/>
      </c>
      <c r="G346" s="15" t="n"/>
      <c r="H346" s="17" t="n"/>
      <c r="I346" s="17" t="n"/>
      <c r="J346" s="13">
        <f>IF($B346="","",MONTH($B346))</f>
        <v/>
      </c>
      <c r="K346" s="13">
        <f>IF($B346="","",YEAR($B346))</f>
        <v/>
      </c>
    </row>
    <row r="347">
      <c r="A347" s="18">
        <f>IF($B347="","",ROW()-9)</f>
        <v/>
      </c>
      <c r="B347" s="19" t="n"/>
      <c r="C347" s="4" t="n"/>
      <c r="D347" s="4" t="n"/>
      <c r="E347" s="4" t="n"/>
      <c r="F347" s="4">
        <f>IF($E347="","",IFERROR(VLOOKUP($E347,AKUN!$A$2:$B$200,2,FALSE),"Kode tidak ditemukan"))</f>
        <v/>
      </c>
      <c r="G347" s="4" t="n"/>
      <c r="H347" s="9" t="n"/>
      <c r="I347" s="9" t="n"/>
      <c r="J347" s="18">
        <f>IF($B347="","",MONTH($B347))</f>
        <v/>
      </c>
      <c r="K347" s="18">
        <f>IF($B347="","",YEAR($B347))</f>
        <v/>
      </c>
    </row>
    <row r="348">
      <c r="A348" s="13">
        <f>IF($B348="","",ROW()-9)</f>
        <v/>
      </c>
      <c r="B348" s="14" t="n"/>
      <c r="C348" s="15" t="n"/>
      <c r="D348" s="15" t="n"/>
      <c r="E348" s="15" t="n"/>
      <c r="F348" s="15">
        <f>IF($E348="","",IFERROR(VLOOKUP($E348,AKUN!$A$2:$B$200,2,FALSE),"Kode tidak ditemukan"))</f>
        <v/>
      </c>
      <c r="G348" s="15" t="n"/>
      <c r="H348" s="17" t="n"/>
      <c r="I348" s="17" t="n"/>
      <c r="J348" s="13">
        <f>IF($B348="","",MONTH($B348))</f>
        <v/>
      </c>
      <c r="K348" s="13">
        <f>IF($B348="","",YEAR($B348))</f>
        <v/>
      </c>
    </row>
    <row r="349">
      <c r="A349" s="18">
        <f>IF($B349="","",ROW()-9)</f>
        <v/>
      </c>
      <c r="B349" s="19" t="n"/>
      <c r="C349" s="4" t="n"/>
      <c r="D349" s="4" t="n"/>
      <c r="E349" s="4" t="n"/>
      <c r="F349" s="4">
        <f>IF($E349="","",IFERROR(VLOOKUP($E349,AKUN!$A$2:$B$200,2,FALSE),"Kode tidak ditemukan"))</f>
        <v/>
      </c>
      <c r="G349" s="4" t="n"/>
      <c r="H349" s="9" t="n"/>
      <c r="I349" s="9" t="n"/>
      <c r="J349" s="18">
        <f>IF($B349="","",MONTH($B349))</f>
        <v/>
      </c>
      <c r="K349" s="18">
        <f>IF($B349="","",YEAR($B349))</f>
        <v/>
      </c>
    </row>
    <row r="350">
      <c r="A350" s="13">
        <f>IF($B350="","",ROW()-9)</f>
        <v/>
      </c>
      <c r="B350" s="14" t="n"/>
      <c r="C350" s="15" t="n"/>
      <c r="D350" s="15" t="n"/>
      <c r="E350" s="15" t="n"/>
      <c r="F350" s="15">
        <f>IF($E350="","",IFERROR(VLOOKUP($E350,AKUN!$A$2:$B$200,2,FALSE),"Kode tidak ditemukan"))</f>
        <v/>
      </c>
      <c r="G350" s="15" t="n"/>
      <c r="H350" s="17" t="n"/>
      <c r="I350" s="17" t="n"/>
      <c r="J350" s="13">
        <f>IF($B350="","",MONTH($B350))</f>
        <v/>
      </c>
      <c r="K350" s="13">
        <f>IF($B350="","",YEAR($B350))</f>
        <v/>
      </c>
    </row>
    <row r="351">
      <c r="A351" s="18">
        <f>IF($B351="","",ROW()-9)</f>
        <v/>
      </c>
      <c r="B351" s="19" t="n"/>
      <c r="C351" s="4" t="n"/>
      <c r="D351" s="4" t="n"/>
      <c r="E351" s="4" t="n"/>
      <c r="F351" s="4">
        <f>IF($E351="","",IFERROR(VLOOKUP($E351,AKUN!$A$2:$B$200,2,FALSE),"Kode tidak ditemukan"))</f>
        <v/>
      </c>
      <c r="G351" s="4" t="n"/>
      <c r="H351" s="9" t="n"/>
      <c r="I351" s="9" t="n"/>
      <c r="J351" s="18">
        <f>IF($B351="","",MONTH($B351))</f>
        <v/>
      </c>
      <c r="K351" s="18">
        <f>IF($B351="","",YEAR($B351))</f>
        <v/>
      </c>
    </row>
    <row r="352">
      <c r="A352" s="13">
        <f>IF($B352="","",ROW()-9)</f>
        <v/>
      </c>
      <c r="B352" s="14" t="n"/>
      <c r="C352" s="15" t="n"/>
      <c r="D352" s="15" t="n"/>
      <c r="E352" s="15" t="n"/>
      <c r="F352" s="15">
        <f>IF($E352="","",IFERROR(VLOOKUP($E352,AKUN!$A$2:$B$200,2,FALSE),"Kode tidak ditemukan"))</f>
        <v/>
      </c>
      <c r="G352" s="15" t="n"/>
      <c r="H352" s="17" t="n"/>
      <c r="I352" s="17" t="n"/>
      <c r="J352" s="13">
        <f>IF($B352="","",MONTH($B352))</f>
        <v/>
      </c>
      <c r="K352" s="13">
        <f>IF($B352="","",YEAR($B352))</f>
        <v/>
      </c>
    </row>
    <row r="353">
      <c r="A353" s="18">
        <f>IF($B353="","",ROW()-9)</f>
        <v/>
      </c>
      <c r="B353" s="19" t="n"/>
      <c r="C353" s="4" t="n"/>
      <c r="D353" s="4" t="n"/>
      <c r="E353" s="4" t="n"/>
      <c r="F353" s="4">
        <f>IF($E353="","",IFERROR(VLOOKUP($E353,AKUN!$A$2:$B$200,2,FALSE),"Kode tidak ditemukan"))</f>
        <v/>
      </c>
      <c r="G353" s="4" t="n"/>
      <c r="H353" s="9" t="n"/>
      <c r="I353" s="9" t="n"/>
      <c r="J353" s="18">
        <f>IF($B353="","",MONTH($B353))</f>
        <v/>
      </c>
      <c r="K353" s="18">
        <f>IF($B353="","",YEAR($B353))</f>
        <v/>
      </c>
    </row>
    <row r="354">
      <c r="A354" s="13">
        <f>IF($B354="","",ROW()-9)</f>
        <v/>
      </c>
      <c r="B354" s="14" t="n"/>
      <c r="C354" s="15" t="n"/>
      <c r="D354" s="15" t="n"/>
      <c r="E354" s="15" t="n"/>
      <c r="F354" s="15">
        <f>IF($E354="","",IFERROR(VLOOKUP($E354,AKUN!$A$2:$B$200,2,FALSE),"Kode tidak ditemukan"))</f>
        <v/>
      </c>
      <c r="G354" s="15" t="n"/>
      <c r="H354" s="17" t="n"/>
      <c r="I354" s="17" t="n"/>
      <c r="J354" s="13">
        <f>IF($B354="","",MONTH($B354))</f>
        <v/>
      </c>
      <c r="K354" s="13">
        <f>IF($B354="","",YEAR($B354))</f>
        <v/>
      </c>
    </row>
    <row r="355">
      <c r="A355" s="18">
        <f>IF($B355="","",ROW()-9)</f>
        <v/>
      </c>
      <c r="B355" s="19" t="n"/>
      <c r="C355" s="4" t="n"/>
      <c r="D355" s="4" t="n"/>
      <c r="E355" s="4" t="n"/>
      <c r="F355" s="4">
        <f>IF($E355="","",IFERROR(VLOOKUP($E355,AKUN!$A$2:$B$200,2,FALSE),"Kode tidak ditemukan"))</f>
        <v/>
      </c>
      <c r="G355" s="4" t="n"/>
      <c r="H355" s="9" t="n"/>
      <c r="I355" s="9" t="n"/>
      <c r="J355" s="18">
        <f>IF($B355="","",MONTH($B355))</f>
        <v/>
      </c>
      <c r="K355" s="18">
        <f>IF($B355="","",YEAR($B355))</f>
        <v/>
      </c>
    </row>
    <row r="356">
      <c r="A356" s="13">
        <f>IF($B356="","",ROW()-9)</f>
        <v/>
      </c>
      <c r="B356" s="14" t="n"/>
      <c r="C356" s="15" t="n"/>
      <c r="D356" s="15" t="n"/>
      <c r="E356" s="15" t="n"/>
      <c r="F356" s="15">
        <f>IF($E356="","",IFERROR(VLOOKUP($E356,AKUN!$A$2:$B$200,2,FALSE),"Kode tidak ditemukan"))</f>
        <v/>
      </c>
      <c r="G356" s="15" t="n"/>
      <c r="H356" s="17" t="n"/>
      <c r="I356" s="17" t="n"/>
      <c r="J356" s="13">
        <f>IF($B356="","",MONTH($B356))</f>
        <v/>
      </c>
      <c r="K356" s="13">
        <f>IF($B356="","",YEAR($B356))</f>
        <v/>
      </c>
    </row>
    <row r="357">
      <c r="A357" s="18">
        <f>IF($B357="","",ROW()-9)</f>
        <v/>
      </c>
      <c r="B357" s="19" t="n"/>
      <c r="C357" s="4" t="n"/>
      <c r="D357" s="4" t="n"/>
      <c r="E357" s="4" t="n"/>
      <c r="F357" s="4">
        <f>IF($E357="","",IFERROR(VLOOKUP($E357,AKUN!$A$2:$B$200,2,FALSE),"Kode tidak ditemukan"))</f>
        <v/>
      </c>
      <c r="G357" s="4" t="n"/>
      <c r="H357" s="9" t="n"/>
      <c r="I357" s="9" t="n"/>
      <c r="J357" s="18">
        <f>IF($B357="","",MONTH($B357))</f>
        <v/>
      </c>
      <c r="K357" s="18">
        <f>IF($B357="","",YEAR($B357))</f>
        <v/>
      </c>
    </row>
    <row r="358">
      <c r="A358" s="13">
        <f>IF($B358="","",ROW()-9)</f>
        <v/>
      </c>
      <c r="B358" s="14" t="n"/>
      <c r="C358" s="15" t="n"/>
      <c r="D358" s="15" t="n"/>
      <c r="E358" s="15" t="n"/>
      <c r="F358" s="15">
        <f>IF($E358="","",IFERROR(VLOOKUP($E358,AKUN!$A$2:$B$200,2,FALSE),"Kode tidak ditemukan"))</f>
        <v/>
      </c>
      <c r="G358" s="15" t="n"/>
      <c r="H358" s="17" t="n"/>
      <c r="I358" s="17" t="n"/>
      <c r="J358" s="13">
        <f>IF($B358="","",MONTH($B358))</f>
        <v/>
      </c>
      <c r="K358" s="13">
        <f>IF($B358="","",YEAR($B358))</f>
        <v/>
      </c>
    </row>
    <row r="359">
      <c r="A359" s="18">
        <f>IF($B359="","",ROW()-9)</f>
        <v/>
      </c>
      <c r="B359" s="19" t="n"/>
      <c r="C359" s="4" t="n"/>
      <c r="D359" s="4" t="n"/>
      <c r="E359" s="4" t="n"/>
      <c r="F359" s="4">
        <f>IF($E359="","",IFERROR(VLOOKUP($E359,AKUN!$A$2:$B$200,2,FALSE),"Kode tidak ditemukan"))</f>
        <v/>
      </c>
      <c r="G359" s="4" t="n"/>
      <c r="H359" s="9" t="n"/>
      <c r="I359" s="9" t="n"/>
      <c r="J359" s="18">
        <f>IF($B359="","",MONTH($B359))</f>
        <v/>
      </c>
      <c r="K359" s="18">
        <f>IF($B359="","",YEAR($B359))</f>
        <v/>
      </c>
    </row>
    <row r="360">
      <c r="A360" s="13">
        <f>IF($B360="","",ROW()-9)</f>
        <v/>
      </c>
      <c r="B360" s="14" t="n"/>
      <c r="C360" s="15" t="n"/>
      <c r="D360" s="15" t="n"/>
      <c r="E360" s="15" t="n"/>
      <c r="F360" s="15">
        <f>IF($E360="","",IFERROR(VLOOKUP($E360,AKUN!$A$2:$B$200,2,FALSE),"Kode tidak ditemukan"))</f>
        <v/>
      </c>
      <c r="G360" s="15" t="n"/>
      <c r="H360" s="17" t="n"/>
      <c r="I360" s="17" t="n"/>
      <c r="J360" s="13">
        <f>IF($B360="","",MONTH($B360))</f>
        <v/>
      </c>
      <c r="K360" s="13">
        <f>IF($B360="","",YEAR($B360))</f>
        <v/>
      </c>
    </row>
    <row r="361">
      <c r="A361" s="18">
        <f>IF($B361="","",ROW()-9)</f>
        <v/>
      </c>
      <c r="B361" s="19" t="n"/>
      <c r="C361" s="4" t="n"/>
      <c r="D361" s="4" t="n"/>
      <c r="E361" s="4" t="n"/>
      <c r="F361" s="4">
        <f>IF($E361="","",IFERROR(VLOOKUP($E361,AKUN!$A$2:$B$200,2,FALSE),"Kode tidak ditemukan"))</f>
        <v/>
      </c>
      <c r="G361" s="4" t="n"/>
      <c r="H361" s="9" t="n"/>
      <c r="I361" s="9" t="n"/>
      <c r="J361" s="18">
        <f>IF($B361="","",MONTH($B361))</f>
        <v/>
      </c>
      <c r="K361" s="18">
        <f>IF($B361="","",YEAR($B361))</f>
        <v/>
      </c>
    </row>
    <row r="362">
      <c r="A362" s="13">
        <f>IF($B362="","",ROW()-9)</f>
        <v/>
      </c>
      <c r="B362" s="14" t="n"/>
      <c r="C362" s="15" t="n"/>
      <c r="D362" s="15" t="n"/>
      <c r="E362" s="15" t="n"/>
      <c r="F362" s="15">
        <f>IF($E362="","",IFERROR(VLOOKUP($E362,AKUN!$A$2:$B$200,2,FALSE),"Kode tidak ditemukan"))</f>
        <v/>
      </c>
      <c r="G362" s="15" t="n"/>
      <c r="H362" s="17" t="n"/>
      <c r="I362" s="17" t="n"/>
      <c r="J362" s="13">
        <f>IF($B362="","",MONTH($B362))</f>
        <v/>
      </c>
      <c r="K362" s="13">
        <f>IF($B362="","",YEAR($B362))</f>
        <v/>
      </c>
    </row>
    <row r="363">
      <c r="A363" s="18">
        <f>IF($B363="","",ROW()-9)</f>
        <v/>
      </c>
      <c r="B363" s="19" t="n"/>
      <c r="C363" s="4" t="n"/>
      <c r="D363" s="4" t="n"/>
      <c r="E363" s="4" t="n"/>
      <c r="F363" s="4">
        <f>IF($E363="","",IFERROR(VLOOKUP($E363,AKUN!$A$2:$B$200,2,FALSE),"Kode tidak ditemukan"))</f>
        <v/>
      </c>
      <c r="G363" s="4" t="n"/>
      <c r="H363" s="9" t="n"/>
      <c r="I363" s="9" t="n"/>
      <c r="J363" s="18">
        <f>IF($B363="","",MONTH($B363))</f>
        <v/>
      </c>
      <c r="K363" s="18">
        <f>IF($B363="","",YEAR($B363))</f>
        <v/>
      </c>
    </row>
    <row r="364">
      <c r="A364" s="13">
        <f>IF($B364="","",ROW()-9)</f>
        <v/>
      </c>
      <c r="B364" s="14" t="n"/>
      <c r="C364" s="15" t="n"/>
      <c r="D364" s="15" t="n"/>
      <c r="E364" s="15" t="n"/>
      <c r="F364" s="15">
        <f>IF($E364="","",IFERROR(VLOOKUP($E364,AKUN!$A$2:$B$200,2,FALSE),"Kode tidak ditemukan"))</f>
        <v/>
      </c>
      <c r="G364" s="15" t="n"/>
      <c r="H364" s="17" t="n"/>
      <c r="I364" s="17" t="n"/>
      <c r="J364" s="13">
        <f>IF($B364="","",MONTH($B364))</f>
        <v/>
      </c>
      <c r="K364" s="13">
        <f>IF($B364="","",YEAR($B364))</f>
        <v/>
      </c>
    </row>
    <row r="365">
      <c r="A365" s="18">
        <f>IF($B365="","",ROW()-9)</f>
        <v/>
      </c>
      <c r="B365" s="19" t="n"/>
      <c r="C365" s="4" t="n"/>
      <c r="D365" s="4" t="n"/>
      <c r="E365" s="4" t="n"/>
      <c r="F365" s="4">
        <f>IF($E365="","",IFERROR(VLOOKUP($E365,AKUN!$A$2:$B$200,2,FALSE),"Kode tidak ditemukan"))</f>
        <v/>
      </c>
      <c r="G365" s="4" t="n"/>
      <c r="H365" s="9" t="n"/>
      <c r="I365" s="9" t="n"/>
      <c r="J365" s="18">
        <f>IF($B365="","",MONTH($B365))</f>
        <v/>
      </c>
      <c r="K365" s="18">
        <f>IF($B365="","",YEAR($B365))</f>
        <v/>
      </c>
    </row>
    <row r="366">
      <c r="A366" s="13">
        <f>IF($B366="","",ROW()-9)</f>
        <v/>
      </c>
      <c r="B366" s="14" t="n"/>
      <c r="C366" s="15" t="n"/>
      <c r="D366" s="15" t="n"/>
      <c r="E366" s="15" t="n"/>
      <c r="F366" s="15">
        <f>IF($E366="","",IFERROR(VLOOKUP($E366,AKUN!$A$2:$B$200,2,FALSE),"Kode tidak ditemukan"))</f>
        <v/>
      </c>
      <c r="G366" s="15" t="n"/>
      <c r="H366" s="17" t="n"/>
      <c r="I366" s="17" t="n"/>
      <c r="J366" s="13">
        <f>IF($B366="","",MONTH($B366))</f>
        <v/>
      </c>
      <c r="K366" s="13">
        <f>IF($B366="","",YEAR($B366))</f>
        <v/>
      </c>
    </row>
    <row r="367">
      <c r="A367" s="18">
        <f>IF($B367="","",ROW()-9)</f>
        <v/>
      </c>
      <c r="B367" s="19" t="n"/>
      <c r="C367" s="4" t="n"/>
      <c r="D367" s="4" t="n"/>
      <c r="E367" s="4" t="n"/>
      <c r="F367" s="4">
        <f>IF($E367="","",IFERROR(VLOOKUP($E367,AKUN!$A$2:$B$200,2,FALSE),"Kode tidak ditemukan"))</f>
        <v/>
      </c>
      <c r="G367" s="4" t="n"/>
      <c r="H367" s="9" t="n"/>
      <c r="I367" s="9" t="n"/>
      <c r="J367" s="18">
        <f>IF($B367="","",MONTH($B367))</f>
        <v/>
      </c>
      <c r="K367" s="18">
        <f>IF($B367="","",YEAR($B367))</f>
        <v/>
      </c>
    </row>
    <row r="368">
      <c r="A368" s="13">
        <f>IF($B368="","",ROW()-9)</f>
        <v/>
      </c>
      <c r="B368" s="14" t="n"/>
      <c r="C368" s="15" t="n"/>
      <c r="D368" s="15" t="n"/>
      <c r="E368" s="15" t="n"/>
      <c r="F368" s="15">
        <f>IF($E368="","",IFERROR(VLOOKUP($E368,AKUN!$A$2:$B$200,2,FALSE),"Kode tidak ditemukan"))</f>
        <v/>
      </c>
      <c r="G368" s="15" t="n"/>
      <c r="H368" s="17" t="n"/>
      <c r="I368" s="17" t="n"/>
      <c r="J368" s="13">
        <f>IF($B368="","",MONTH($B368))</f>
        <v/>
      </c>
      <c r="K368" s="13">
        <f>IF($B368="","",YEAR($B368))</f>
        <v/>
      </c>
    </row>
    <row r="369">
      <c r="A369" s="18">
        <f>IF($B369="","",ROW()-9)</f>
        <v/>
      </c>
      <c r="B369" s="19" t="n"/>
      <c r="C369" s="4" t="n"/>
      <c r="D369" s="4" t="n"/>
      <c r="E369" s="4" t="n"/>
      <c r="F369" s="4">
        <f>IF($E369="","",IFERROR(VLOOKUP($E369,AKUN!$A$2:$B$200,2,FALSE),"Kode tidak ditemukan"))</f>
        <v/>
      </c>
      <c r="G369" s="4" t="n"/>
      <c r="H369" s="9" t="n"/>
      <c r="I369" s="9" t="n"/>
      <c r="J369" s="18">
        <f>IF($B369="","",MONTH($B369))</f>
        <v/>
      </c>
      <c r="K369" s="18">
        <f>IF($B369="","",YEAR($B369))</f>
        <v/>
      </c>
    </row>
    <row r="370">
      <c r="A370" s="13">
        <f>IF($B370="","",ROW()-9)</f>
        <v/>
      </c>
      <c r="B370" s="14" t="n"/>
      <c r="C370" s="15" t="n"/>
      <c r="D370" s="15" t="n"/>
      <c r="E370" s="15" t="n"/>
      <c r="F370" s="15">
        <f>IF($E370="","",IFERROR(VLOOKUP($E370,AKUN!$A$2:$B$200,2,FALSE),"Kode tidak ditemukan"))</f>
        <v/>
      </c>
      <c r="G370" s="15" t="n"/>
      <c r="H370" s="17" t="n"/>
      <c r="I370" s="17" t="n"/>
      <c r="J370" s="13">
        <f>IF($B370="","",MONTH($B370))</f>
        <v/>
      </c>
      <c r="K370" s="13">
        <f>IF($B370="","",YEAR($B370))</f>
        <v/>
      </c>
    </row>
    <row r="371">
      <c r="A371" s="18">
        <f>IF($B371="","",ROW()-9)</f>
        <v/>
      </c>
      <c r="B371" s="19" t="n"/>
      <c r="C371" s="4" t="n"/>
      <c r="D371" s="4" t="n"/>
      <c r="E371" s="4" t="n"/>
      <c r="F371" s="4">
        <f>IF($E371="","",IFERROR(VLOOKUP($E371,AKUN!$A$2:$B$200,2,FALSE),"Kode tidak ditemukan"))</f>
        <v/>
      </c>
      <c r="G371" s="4" t="n"/>
      <c r="H371" s="9" t="n"/>
      <c r="I371" s="9" t="n"/>
      <c r="J371" s="18">
        <f>IF($B371="","",MONTH($B371))</f>
        <v/>
      </c>
      <c r="K371" s="18">
        <f>IF($B371="","",YEAR($B371))</f>
        <v/>
      </c>
    </row>
    <row r="372">
      <c r="A372" s="13">
        <f>IF($B372="","",ROW()-9)</f>
        <v/>
      </c>
      <c r="B372" s="14" t="n"/>
      <c r="C372" s="15" t="n"/>
      <c r="D372" s="15" t="n"/>
      <c r="E372" s="15" t="n"/>
      <c r="F372" s="15">
        <f>IF($E372="","",IFERROR(VLOOKUP($E372,AKUN!$A$2:$B$200,2,FALSE),"Kode tidak ditemukan"))</f>
        <v/>
      </c>
      <c r="G372" s="15" t="n"/>
      <c r="H372" s="17" t="n"/>
      <c r="I372" s="17" t="n"/>
      <c r="J372" s="13">
        <f>IF($B372="","",MONTH($B372))</f>
        <v/>
      </c>
      <c r="K372" s="13">
        <f>IF($B372="","",YEAR($B372))</f>
        <v/>
      </c>
    </row>
    <row r="373">
      <c r="A373" s="18">
        <f>IF($B373="","",ROW()-9)</f>
        <v/>
      </c>
      <c r="B373" s="19" t="n"/>
      <c r="C373" s="4" t="n"/>
      <c r="D373" s="4" t="n"/>
      <c r="E373" s="4" t="n"/>
      <c r="F373" s="4">
        <f>IF($E373="","",IFERROR(VLOOKUP($E373,AKUN!$A$2:$B$200,2,FALSE),"Kode tidak ditemukan"))</f>
        <v/>
      </c>
      <c r="G373" s="4" t="n"/>
      <c r="H373" s="9" t="n"/>
      <c r="I373" s="9" t="n"/>
      <c r="J373" s="18">
        <f>IF($B373="","",MONTH($B373))</f>
        <v/>
      </c>
      <c r="K373" s="18">
        <f>IF($B373="","",YEAR($B373))</f>
        <v/>
      </c>
    </row>
    <row r="374">
      <c r="A374" s="13">
        <f>IF($B374="","",ROW()-9)</f>
        <v/>
      </c>
      <c r="B374" s="14" t="n"/>
      <c r="C374" s="15" t="n"/>
      <c r="D374" s="15" t="n"/>
      <c r="E374" s="15" t="n"/>
      <c r="F374" s="15">
        <f>IF($E374="","",IFERROR(VLOOKUP($E374,AKUN!$A$2:$B$200,2,FALSE),"Kode tidak ditemukan"))</f>
        <v/>
      </c>
      <c r="G374" s="15" t="n"/>
      <c r="H374" s="17" t="n"/>
      <c r="I374" s="17" t="n"/>
      <c r="J374" s="13">
        <f>IF($B374="","",MONTH($B374))</f>
        <v/>
      </c>
      <c r="K374" s="13">
        <f>IF($B374="","",YEAR($B374))</f>
        <v/>
      </c>
    </row>
    <row r="375">
      <c r="A375" s="18">
        <f>IF($B375="","",ROW()-9)</f>
        <v/>
      </c>
      <c r="B375" s="19" t="n"/>
      <c r="C375" s="4" t="n"/>
      <c r="D375" s="4" t="n"/>
      <c r="E375" s="4" t="n"/>
      <c r="F375" s="4">
        <f>IF($E375="","",IFERROR(VLOOKUP($E375,AKUN!$A$2:$B$200,2,FALSE),"Kode tidak ditemukan"))</f>
        <v/>
      </c>
      <c r="G375" s="4" t="n"/>
      <c r="H375" s="9" t="n"/>
      <c r="I375" s="9" t="n"/>
      <c r="J375" s="18">
        <f>IF($B375="","",MONTH($B375))</f>
        <v/>
      </c>
      <c r="K375" s="18">
        <f>IF($B375="","",YEAR($B375))</f>
        <v/>
      </c>
    </row>
    <row r="376">
      <c r="A376" s="13">
        <f>IF($B376="","",ROW()-9)</f>
        <v/>
      </c>
      <c r="B376" s="14" t="n"/>
      <c r="C376" s="15" t="n"/>
      <c r="D376" s="15" t="n"/>
      <c r="E376" s="15" t="n"/>
      <c r="F376" s="15">
        <f>IF($E376="","",IFERROR(VLOOKUP($E376,AKUN!$A$2:$B$200,2,FALSE),"Kode tidak ditemukan"))</f>
        <v/>
      </c>
      <c r="G376" s="15" t="n"/>
      <c r="H376" s="17" t="n"/>
      <c r="I376" s="17" t="n"/>
      <c r="J376" s="13">
        <f>IF($B376="","",MONTH($B376))</f>
        <v/>
      </c>
      <c r="K376" s="13">
        <f>IF($B376="","",YEAR($B376))</f>
        <v/>
      </c>
    </row>
    <row r="377">
      <c r="A377" s="18">
        <f>IF($B377="","",ROW()-9)</f>
        <v/>
      </c>
      <c r="B377" s="19" t="n"/>
      <c r="C377" s="4" t="n"/>
      <c r="D377" s="4" t="n"/>
      <c r="E377" s="4" t="n"/>
      <c r="F377" s="4">
        <f>IF($E377="","",IFERROR(VLOOKUP($E377,AKUN!$A$2:$B$200,2,FALSE),"Kode tidak ditemukan"))</f>
        <v/>
      </c>
      <c r="G377" s="4" t="n"/>
      <c r="H377" s="9" t="n"/>
      <c r="I377" s="9" t="n"/>
      <c r="J377" s="18">
        <f>IF($B377="","",MONTH($B377))</f>
        <v/>
      </c>
      <c r="K377" s="18">
        <f>IF($B377="","",YEAR($B377))</f>
        <v/>
      </c>
    </row>
    <row r="378">
      <c r="A378" s="13">
        <f>IF($B378="","",ROW()-9)</f>
        <v/>
      </c>
      <c r="B378" s="14" t="n"/>
      <c r="C378" s="15" t="n"/>
      <c r="D378" s="15" t="n"/>
      <c r="E378" s="15" t="n"/>
      <c r="F378" s="15">
        <f>IF($E378="","",IFERROR(VLOOKUP($E378,AKUN!$A$2:$B$200,2,FALSE),"Kode tidak ditemukan"))</f>
        <v/>
      </c>
      <c r="G378" s="15" t="n"/>
      <c r="H378" s="17" t="n"/>
      <c r="I378" s="17" t="n"/>
      <c r="J378" s="13">
        <f>IF($B378="","",MONTH($B378))</f>
        <v/>
      </c>
      <c r="K378" s="13">
        <f>IF($B378="","",YEAR($B378))</f>
        <v/>
      </c>
    </row>
    <row r="379">
      <c r="A379" s="18">
        <f>IF($B379="","",ROW()-9)</f>
        <v/>
      </c>
      <c r="B379" s="19" t="n"/>
      <c r="C379" s="4" t="n"/>
      <c r="D379" s="4" t="n"/>
      <c r="E379" s="4" t="n"/>
      <c r="F379" s="4">
        <f>IF($E379="","",IFERROR(VLOOKUP($E379,AKUN!$A$2:$B$200,2,FALSE),"Kode tidak ditemukan"))</f>
        <v/>
      </c>
      <c r="G379" s="4" t="n"/>
      <c r="H379" s="9" t="n"/>
      <c r="I379" s="9" t="n"/>
      <c r="J379" s="18">
        <f>IF($B379="","",MONTH($B379))</f>
        <v/>
      </c>
      <c r="K379" s="18">
        <f>IF($B379="","",YEAR($B379))</f>
        <v/>
      </c>
    </row>
    <row r="380">
      <c r="A380" s="13">
        <f>IF($B380="","",ROW()-9)</f>
        <v/>
      </c>
      <c r="B380" s="14" t="n"/>
      <c r="C380" s="15" t="n"/>
      <c r="D380" s="15" t="n"/>
      <c r="E380" s="15" t="n"/>
      <c r="F380" s="15">
        <f>IF($E380="","",IFERROR(VLOOKUP($E380,AKUN!$A$2:$B$200,2,FALSE),"Kode tidak ditemukan"))</f>
        <v/>
      </c>
      <c r="G380" s="15" t="n"/>
      <c r="H380" s="17" t="n"/>
      <c r="I380" s="17" t="n"/>
      <c r="J380" s="13">
        <f>IF($B380="","",MONTH($B380))</f>
        <v/>
      </c>
      <c r="K380" s="13">
        <f>IF($B380="","",YEAR($B380))</f>
        <v/>
      </c>
    </row>
    <row r="381">
      <c r="A381" s="18">
        <f>IF($B381="","",ROW()-9)</f>
        <v/>
      </c>
      <c r="B381" s="19" t="n"/>
      <c r="C381" s="4" t="n"/>
      <c r="D381" s="4" t="n"/>
      <c r="E381" s="4" t="n"/>
      <c r="F381" s="4">
        <f>IF($E381="","",IFERROR(VLOOKUP($E381,AKUN!$A$2:$B$200,2,FALSE),"Kode tidak ditemukan"))</f>
        <v/>
      </c>
      <c r="G381" s="4" t="n"/>
      <c r="H381" s="9" t="n"/>
      <c r="I381" s="9" t="n"/>
      <c r="J381" s="18">
        <f>IF($B381="","",MONTH($B381))</f>
        <v/>
      </c>
      <c r="K381" s="18">
        <f>IF($B381="","",YEAR($B381))</f>
        <v/>
      </c>
    </row>
    <row r="382">
      <c r="A382" s="13">
        <f>IF($B382="","",ROW()-9)</f>
        <v/>
      </c>
      <c r="B382" s="14" t="n"/>
      <c r="C382" s="15" t="n"/>
      <c r="D382" s="15" t="n"/>
      <c r="E382" s="15" t="n"/>
      <c r="F382" s="15">
        <f>IF($E382="","",IFERROR(VLOOKUP($E382,AKUN!$A$2:$B$200,2,FALSE),"Kode tidak ditemukan"))</f>
        <v/>
      </c>
      <c r="G382" s="15" t="n"/>
      <c r="H382" s="17" t="n"/>
      <c r="I382" s="17" t="n"/>
      <c r="J382" s="13">
        <f>IF($B382="","",MONTH($B382))</f>
        <v/>
      </c>
      <c r="K382" s="13">
        <f>IF($B382="","",YEAR($B382))</f>
        <v/>
      </c>
    </row>
    <row r="383">
      <c r="A383" s="18">
        <f>IF($B383="","",ROW()-9)</f>
        <v/>
      </c>
      <c r="B383" s="19" t="n"/>
      <c r="C383" s="4" t="n"/>
      <c r="D383" s="4" t="n"/>
      <c r="E383" s="4" t="n"/>
      <c r="F383" s="4">
        <f>IF($E383="","",IFERROR(VLOOKUP($E383,AKUN!$A$2:$B$200,2,FALSE),"Kode tidak ditemukan"))</f>
        <v/>
      </c>
      <c r="G383" s="4" t="n"/>
      <c r="H383" s="9" t="n"/>
      <c r="I383" s="9" t="n"/>
      <c r="J383" s="18">
        <f>IF($B383="","",MONTH($B383))</f>
        <v/>
      </c>
      <c r="K383" s="18">
        <f>IF($B383="","",YEAR($B383))</f>
        <v/>
      </c>
    </row>
    <row r="384">
      <c r="A384" s="13">
        <f>IF($B384="","",ROW()-9)</f>
        <v/>
      </c>
      <c r="B384" s="14" t="n"/>
      <c r="C384" s="15" t="n"/>
      <c r="D384" s="15" t="n"/>
      <c r="E384" s="15" t="n"/>
      <c r="F384" s="15">
        <f>IF($E384="","",IFERROR(VLOOKUP($E384,AKUN!$A$2:$B$200,2,FALSE),"Kode tidak ditemukan"))</f>
        <v/>
      </c>
      <c r="G384" s="15" t="n"/>
      <c r="H384" s="17" t="n"/>
      <c r="I384" s="17" t="n"/>
      <c r="J384" s="13">
        <f>IF($B384="","",MONTH($B384))</f>
        <v/>
      </c>
      <c r="K384" s="13">
        <f>IF($B384="","",YEAR($B384))</f>
        <v/>
      </c>
    </row>
    <row r="385">
      <c r="A385" s="18">
        <f>IF($B385="","",ROW()-9)</f>
        <v/>
      </c>
      <c r="B385" s="19" t="n"/>
      <c r="C385" s="4" t="n"/>
      <c r="D385" s="4" t="n"/>
      <c r="E385" s="4" t="n"/>
      <c r="F385" s="4">
        <f>IF($E385="","",IFERROR(VLOOKUP($E385,AKUN!$A$2:$B$200,2,FALSE),"Kode tidak ditemukan"))</f>
        <v/>
      </c>
      <c r="G385" s="4" t="n"/>
      <c r="H385" s="9" t="n"/>
      <c r="I385" s="9" t="n"/>
      <c r="J385" s="18">
        <f>IF($B385="","",MONTH($B385))</f>
        <v/>
      </c>
      <c r="K385" s="18">
        <f>IF($B385="","",YEAR($B385))</f>
        <v/>
      </c>
    </row>
    <row r="386">
      <c r="A386" s="13">
        <f>IF($B386="","",ROW()-9)</f>
        <v/>
      </c>
      <c r="B386" s="14" t="n"/>
      <c r="C386" s="15" t="n"/>
      <c r="D386" s="15" t="n"/>
      <c r="E386" s="15" t="n"/>
      <c r="F386" s="15">
        <f>IF($E386="","",IFERROR(VLOOKUP($E386,AKUN!$A$2:$B$200,2,FALSE),"Kode tidak ditemukan"))</f>
        <v/>
      </c>
      <c r="G386" s="15" t="n"/>
      <c r="H386" s="17" t="n"/>
      <c r="I386" s="17" t="n"/>
      <c r="J386" s="13">
        <f>IF($B386="","",MONTH($B386))</f>
        <v/>
      </c>
      <c r="K386" s="13">
        <f>IF($B386="","",YEAR($B386))</f>
        <v/>
      </c>
    </row>
    <row r="387">
      <c r="A387" s="18">
        <f>IF($B387="","",ROW()-9)</f>
        <v/>
      </c>
      <c r="B387" s="19" t="n"/>
      <c r="C387" s="4" t="n"/>
      <c r="D387" s="4" t="n"/>
      <c r="E387" s="4" t="n"/>
      <c r="F387" s="4">
        <f>IF($E387="","",IFERROR(VLOOKUP($E387,AKUN!$A$2:$B$200,2,FALSE),"Kode tidak ditemukan"))</f>
        <v/>
      </c>
      <c r="G387" s="4" t="n"/>
      <c r="H387" s="9" t="n"/>
      <c r="I387" s="9" t="n"/>
      <c r="J387" s="18">
        <f>IF($B387="","",MONTH($B387))</f>
        <v/>
      </c>
      <c r="K387" s="18">
        <f>IF($B387="","",YEAR($B387))</f>
        <v/>
      </c>
    </row>
    <row r="388">
      <c r="A388" s="13">
        <f>IF($B388="","",ROW()-9)</f>
        <v/>
      </c>
      <c r="B388" s="14" t="n"/>
      <c r="C388" s="15" t="n"/>
      <c r="D388" s="15" t="n"/>
      <c r="E388" s="15" t="n"/>
      <c r="F388" s="15">
        <f>IF($E388="","",IFERROR(VLOOKUP($E388,AKUN!$A$2:$B$200,2,FALSE),"Kode tidak ditemukan"))</f>
        <v/>
      </c>
      <c r="G388" s="15" t="n"/>
      <c r="H388" s="17" t="n"/>
      <c r="I388" s="17" t="n"/>
      <c r="J388" s="13">
        <f>IF($B388="","",MONTH($B388))</f>
        <v/>
      </c>
      <c r="K388" s="13">
        <f>IF($B388="","",YEAR($B388))</f>
        <v/>
      </c>
    </row>
    <row r="389">
      <c r="A389" s="18">
        <f>IF($B389="","",ROW()-9)</f>
        <v/>
      </c>
      <c r="B389" s="19" t="n"/>
      <c r="C389" s="4" t="n"/>
      <c r="D389" s="4" t="n"/>
      <c r="E389" s="4" t="n"/>
      <c r="F389" s="4">
        <f>IF($E389="","",IFERROR(VLOOKUP($E389,AKUN!$A$2:$B$200,2,FALSE),"Kode tidak ditemukan"))</f>
        <v/>
      </c>
      <c r="G389" s="4" t="n"/>
      <c r="H389" s="9" t="n"/>
      <c r="I389" s="9" t="n"/>
      <c r="J389" s="18">
        <f>IF($B389="","",MONTH($B389))</f>
        <v/>
      </c>
      <c r="K389" s="18">
        <f>IF($B389="","",YEAR($B389))</f>
        <v/>
      </c>
    </row>
    <row r="390">
      <c r="A390" s="13">
        <f>IF($B390="","",ROW()-9)</f>
        <v/>
      </c>
      <c r="B390" s="14" t="n"/>
      <c r="C390" s="15" t="n"/>
      <c r="D390" s="15" t="n"/>
      <c r="E390" s="15" t="n"/>
      <c r="F390" s="15">
        <f>IF($E390="","",IFERROR(VLOOKUP($E390,AKUN!$A$2:$B$200,2,FALSE),"Kode tidak ditemukan"))</f>
        <v/>
      </c>
      <c r="G390" s="15" t="n"/>
      <c r="H390" s="17" t="n"/>
      <c r="I390" s="17" t="n"/>
      <c r="J390" s="13">
        <f>IF($B390="","",MONTH($B390))</f>
        <v/>
      </c>
      <c r="K390" s="13">
        <f>IF($B390="","",YEAR($B390))</f>
        <v/>
      </c>
    </row>
    <row r="391">
      <c r="A391" s="18">
        <f>IF($B391="","",ROW()-9)</f>
        <v/>
      </c>
      <c r="B391" s="19" t="n"/>
      <c r="C391" s="4" t="n"/>
      <c r="D391" s="4" t="n"/>
      <c r="E391" s="4" t="n"/>
      <c r="F391" s="4">
        <f>IF($E391="","",IFERROR(VLOOKUP($E391,AKUN!$A$2:$B$200,2,FALSE),"Kode tidak ditemukan"))</f>
        <v/>
      </c>
      <c r="G391" s="4" t="n"/>
      <c r="H391" s="9" t="n"/>
      <c r="I391" s="9" t="n"/>
      <c r="J391" s="18">
        <f>IF($B391="","",MONTH($B391))</f>
        <v/>
      </c>
      <c r="K391" s="18">
        <f>IF($B391="","",YEAR($B391))</f>
        <v/>
      </c>
    </row>
    <row r="392">
      <c r="A392" s="13">
        <f>IF($B392="","",ROW()-9)</f>
        <v/>
      </c>
      <c r="B392" s="14" t="n"/>
      <c r="C392" s="15" t="n"/>
      <c r="D392" s="15" t="n"/>
      <c r="E392" s="15" t="n"/>
      <c r="F392" s="15">
        <f>IF($E392="","",IFERROR(VLOOKUP($E392,AKUN!$A$2:$B$200,2,FALSE),"Kode tidak ditemukan"))</f>
        <v/>
      </c>
      <c r="G392" s="15" t="n"/>
      <c r="H392" s="17" t="n"/>
      <c r="I392" s="17" t="n"/>
      <c r="J392" s="13">
        <f>IF($B392="","",MONTH($B392))</f>
        <v/>
      </c>
      <c r="K392" s="13">
        <f>IF($B392="","",YEAR($B392))</f>
        <v/>
      </c>
    </row>
    <row r="393">
      <c r="A393" s="18">
        <f>IF($B393="","",ROW()-9)</f>
        <v/>
      </c>
      <c r="B393" s="19" t="n"/>
      <c r="C393" s="4" t="n"/>
      <c r="D393" s="4" t="n"/>
      <c r="E393" s="4" t="n"/>
      <c r="F393" s="4">
        <f>IF($E393="","",IFERROR(VLOOKUP($E393,AKUN!$A$2:$B$200,2,FALSE),"Kode tidak ditemukan"))</f>
        <v/>
      </c>
      <c r="G393" s="4" t="n"/>
      <c r="H393" s="9" t="n"/>
      <c r="I393" s="9" t="n"/>
      <c r="J393" s="18">
        <f>IF($B393="","",MONTH($B393))</f>
        <v/>
      </c>
      <c r="K393" s="18">
        <f>IF($B393="","",YEAR($B393))</f>
        <v/>
      </c>
    </row>
    <row r="394">
      <c r="A394" s="13">
        <f>IF($B394="","",ROW()-9)</f>
        <v/>
      </c>
      <c r="B394" s="14" t="n"/>
      <c r="C394" s="15" t="n"/>
      <c r="D394" s="15" t="n"/>
      <c r="E394" s="15" t="n"/>
      <c r="F394" s="15">
        <f>IF($E394="","",IFERROR(VLOOKUP($E394,AKUN!$A$2:$B$200,2,FALSE),"Kode tidak ditemukan"))</f>
        <v/>
      </c>
      <c r="G394" s="15" t="n"/>
      <c r="H394" s="17" t="n"/>
      <c r="I394" s="17" t="n"/>
      <c r="J394" s="13">
        <f>IF($B394="","",MONTH($B394))</f>
        <v/>
      </c>
      <c r="K394" s="13">
        <f>IF($B394="","",YEAR($B394))</f>
        <v/>
      </c>
    </row>
    <row r="395">
      <c r="A395" s="18">
        <f>IF($B395="","",ROW()-9)</f>
        <v/>
      </c>
      <c r="B395" s="19" t="n"/>
      <c r="C395" s="4" t="n"/>
      <c r="D395" s="4" t="n"/>
      <c r="E395" s="4" t="n"/>
      <c r="F395" s="4">
        <f>IF($E395="","",IFERROR(VLOOKUP($E395,AKUN!$A$2:$B$200,2,FALSE),"Kode tidak ditemukan"))</f>
        <v/>
      </c>
      <c r="G395" s="4" t="n"/>
      <c r="H395" s="9" t="n"/>
      <c r="I395" s="9" t="n"/>
      <c r="J395" s="18">
        <f>IF($B395="","",MONTH($B395))</f>
        <v/>
      </c>
      <c r="K395" s="18">
        <f>IF($B395="","",YEAR($B395))</f>
        <v/>
      </c>
    </row>
    <row r="396">
      <c r="A396" s="13">
        <f>IF($B396="","",ROW()-9)</f>
        <v/>
      </c>
      <c r="B396" s="14" t="n"/>
      <c r="C396" s="15" t="n"/>
      <c r="D396" s="15" t="n"/>
      <c r="E396" s="15" t="n"/>
      <c r="F396" s="15">
        <f>IF($E396="","",IFERROR(VLOOKUP($E396,AKUN!$A$2:$B$200,2,FALSE),"Kode tidak ditemukan"))</f>
        <v/>
      </c>
      <c r="G396" s="15" t="n"/>
      <c r="H396" s="17" t="n"/>
      <c r="I396" s="17" t="n"/>
      <c r="J396" s="13">
        <f>IF($B396="","",MONTH($B396))</f>
        <v/>
      </c>
      <c r="K396" s="13">
        <f>IF($B396="","",YEAR($B396))</f>
        <v/>
      </c>
    </row>
    <row r="397">
      <c r="A397" s="18">
        <f>IF($B397="","",ROW()-9)</f>
        <v/>
      </c>
      <c r="B397" s="19" t="n"/>
      <c r="C397" s="4" t="n"/>
      <c r="D397" s="4" t="n"/>
      <c r="E397" s="4" t="n"/>
      <c r="F397" s="4">
        <f>IF($E397="","",IFERROR(VLOOKUP($E397,AKUN!$A$2:$B$200,2,FALSE),"Kode tidak ditemukan"))</f>
        <v/>
      </c>
      <c r="G397" s="4" t="n"/>
      <c r="H397" s="9" t="n"/>
      <c r="I397" s="9" t="n"/>
      <c r="J397" s="18">
        <f>IF($B397="","",MONTH($B397))</f>
        <v/>
      </c>
      <c r="K397" s="18">
        <f>IF($B397="","",YEAR($B397))</f>
        <v/>
      </c>
    </row>
    <row r="398">
      <c r="A398" s="13">
        <f>IF($B398="","",ROW()-9)</f>
        <v/>
      </c>
      <c r="B398" s="14" t="n"/>
      <c r="C398" s="15" t="n"/>
      <c r="D398" s="15" t="n"/>
      <c r="E398" s="15" t="n"/>
      <c r="F398" s="15">
        <f>IF($E398="","",IFERROR(VLOOKUP($E398,AKUN!$A$2:$B$200,2,FALSE),"Kode tidak ditemukan"))</f>
        <v/>
      </c>
      <c r="G398" s="15" t="n"/>
      <c r="H398" s="17" t="n"/>
      <c r="I398" s="17" t="n"/>
      <c r="J398" s="13">
        <f>IF($B398="","",MONTH($B398))</f>
        <v/>
      </c>
      <c r="K398" s="13">
        <f>IF($B398="","",YEAR($B398))</f>
        <v/>
      </c>
    </row>
    <row r="399">
      <c r="A399" s="18">
        <f>IF($B399="","",ROW()-9)</f>
        <v/>
      </c>
      <c r="B399" s="19" t="n"/>
      <c r="C399" s="4" t="n"/>
      <c r="D399" s="4" t="n"/>
      <c r="E399" s="4" t="n"/>
      <c r="F399" s="4">
        <f>IF($E399="","",IFERROR(VLOOKUP($E399,AKUN!$A$2:$B$200,2,FALSE),"Kode tidak ditemukan"))</f>
        <v/>
      </c>
      <c r="G399" s="4" t="n"/>
      <c r="H399" s="9" t="n"/>
      <c r="I399" s="9" t="n"/>
      <c r="J399" s="18">
        <f>IF($B399="","",MONTH($B399))</f>
        <v/>
      </c>
      <c r="K399" s="18">
        <f>IF($B399="","",YEAR($B399))</f>
        <v/>
      </c>
    </row>
    <row r="400">
      <c r="A400" s="13">
        <f>IF($B400="","",ROW()-9)</f>
        <v/>
      </c>
      <c r="B400" s="14" t="n"/>
      <c r="C400" s="15" t="n"/>
      <c r="D400" s="15" t="n"/>
      <c r="E400" s="15" t="n"/>
      <c r="F400" s="15">
        <f>IF($E400="","",IFERROR(VLOOKUP($E400,AKUN!$A$2:$B$200,2,FALSE),"Kode tidak ditemukan"))</f>
        <v/>
      </c>
      <c r="G400" s="15" t="n"/>
      <c r="H400" s="17" t="n"/>
      <c r="I400" s="17" t="n"/>
      <c r="J400" s="13">
        <f>IF($B400="","",MONTH($B400))</f>
        <v/>
      </c>
      <c r="K400" s="13">
        <f>IF($B400="","",YEAR($B400))</f>
        <v/>
      </c>
    </row>
    <row r="401">
      <c r="A401" s="18">
        <f>IF($B401="","",ROW()-9)</f>
        <v/>
      </c>
      <c r="B401" s="19" t="n"/>
      <c r="C401" s="4" t="n"/>
      <c r="D401" s="4" t="n"/>
      <c r="E401" s="4" t="n"/>
      <c r="F401" s="4">
        <f>IF($E401="","",IFERROR(VLOOKUP($E401,AKUN!$A$2:$B$200,2,FALSE),"Kode tidak ditemukan"))</f>
        <v/>
      </c>
      <c r="G401" s="4" t="n"/>
      <c r="H401" s="9" t="n"/>
      <c r="I401" s="9" t="n"/>
      <c r="J401" s="18">
        <f>IF($B401="","",MONTH($B401))</f>
        <v/>
      </c>
      <c r="K401" s="18">
        <f>IF($B401="","",YEAR($B401))</f>
        <v/>
      </c>
    </row>
    <row r="402">
      <c r="A402" s="13">
        <f>IF($B402="","",ROW()-9)</f>
        <v/>
      </c>
      <c r="B402" s="14" t="n"/>
      <c r="C402" s="15" t="n"/>
      <c r="D402" s="15" t="n"/>
      <c r="E402" s="15" t="n"/>
      <c r="F402" s="15">
        <f>IF($E402="","",IFERROR(VLOOKUP($E402,AKUN!$A$2:$B$200,2,FALSE),"Kode tidak ditemukan"))</f>
        <v/>
      </c>
      <c r="G402" s="15" t="n"/>
      <c r="H402" s="17" t="n"/>
      <c r="I402" s="17" t="n"/>
      <c r="J402" s="13">
        <f>IF($B402="","",MONTH($B402))</f>
        <v/>
      </c>
      <c r="K402" s="13">
        <f>IF($B402="","",YEAR($B402))</f>
        <v/>
      </c>
    </row>
    <row r="403">
      <c r="A403" s="18">
        <f>IF($B403="","",ROW()-9)</f>
        <v/>
      </c>
      <c r="B403" s="19" t="n"/>
      <c r="C403" s="4" t="n"/>
      <c r="D403" s="4" t="n"/>
      <c r="E403" s="4" t="n"/>
      <c r="F403" s="4">
        <f>IF($E403="","",IFERROR(VLOOKUP($E403,AKUN!$A$2:$B$200,2,FALSE),"Kode tidak ditemukan"))</f>
        <v/>
      </c>
      <c r="G403" s="4" t="n"/>
      <c r="H403" s="9" t="n"/>
      <c r="I403" s="9" t="n"/>
      <c r="J403" s="18">
        <f>IF($B403="","",MONTH($B403))</f>
        <v/>
      </c>
      <c r="K403" s="18">
        <f>IF($B403="","",YEAR($B403))</f>
        <v/>
      </c>
    </row>
    <row r="404">
      <c r="A404" s="13">
        <f>IF($B404="","",ROW()-9)</f>
        <v/>
      </c>
      <c r="B404" s="14" t="n"/>
      <c r="C404" s="15" t="n"/>
      <c r="D404" s="15" t="n"/>
      <c r="E404" s="15" t="n"/>
      <c r="F404" s="15">
        <f>IF($E404="","",IFERROR(VLOOKUP($E404,AKUN!$A$2:$B$200,2,FALSE),"Kode tidak ditemukan"))</f>
        <v/>
      </c>
      <c r="G404" s="15" t="n"/>
      <c r="H404" s="17" t="n"/>
      <c r="I404" s="17" t="n"/>
      <c r="J404" s="13">
        <f>IF($B404="","",MONTH($B404))</f>
        <v/>
      </c>
      <c r="K404" s="13">
        <f>IF($B404="","",YEAR($B404))</f>
        <v/>
      </c>
    </row>
    <row r="405">
      <c r="A405" s="18">
        <f>IF($B405="","",ROW()-9)</f>
        <v/>
      </c>
      <c r="B405" s="19" t="n"/>
      <c r="C405" s="4" t="n"/>
      <c r="D405" s="4" t="n"/>
      <c r="E405" s="4" t="n"/>
      <c r="F405" s="4">
        <f>IF($E405="","",IFERROR(VLOOKUP($E405,AKUN!$A$2:$B$200,2,FALSE),"Kode tidak ditemukan"))</f>
        <v/>
      </c>
      <c r="G405" s="4" t="n"/>
      <c r="H405" s="9" t="n"/>
      <c r="I405" s="9" t="n"/>
      <c r="J405" s="18">
        <f>IF($B405="","",MONTH($B405))</f>
        <v/>
      </c>
      <c r="K405" s="18">
        <f>IF($B405="","",YEAR($B405))</f>
        <v/>
      </c>
    </row>
    <row r="406">
      <c r="A406" s="13">
        <f>IF($B406="","",ROW()-9)</f>
        <v/>
      </c>
      <c r="B406" s="14" t="n"/>
      <c r="C406" s="15" t="n"/>
      <c r="D406" s="15" t="n"/>
      <c r="E406" s="15" t="n"/>
      <c r="F406" s="15">
        <f>IF($E406="","",IFERROR(VLOOKUP($E406,AKUN!$A$2:$B$200,2,FALSE),"Kode tidak ditemukan"))</f>
        <v/>
      </c>
      <c r="G406" s="15" t="n"/>
      <c r="H406" s="17" t="n"/>
      <c r="I406" s="17" t="n"/>
      <c r="J406" s="13">
        <f>IF($B406="","",MONTH($B406))</f>
        <v/>
      </c>
      <c r="K406" s="13">
        <f>IF($B406="","",YEAR($B406))</f>
        <v/>
      </c>
    </row>
    <row r="407">
      <c r="A407" s="18">
        <f>IF($B407="","",ROW()-9)</f>
        <v/>
      </c>
      <c r="B407" s="19" t="n"/>
      <c r="C407" s="4" t="n"/>
      <c r="D407" s="4" t="n"/>
      <c r="E407" s="4" t="n"/>
      <c r="F407" s="4">
        <f>IF($E407="","",IFERROR(VLOOKUP($E407,AKUN!$A$2:$B$200,2,FALSE),"Kode tidak ditemukan"))</f>
        <v/>
      </c>
      <c r="G407" s="4" t="n"/>
      <c r="H407" s="9" t="n"/>
      <c r="I407" s="9" t="n"/>
      <c r="J407" s="18">
        <f>IF($B407="","",MONTH($B407))</f>
        <v/>
      </c>
      <c r="K407" s="18">
        <f>IF($B407="","",YEAR($B407))</f>
        <v/>
      </c>
    </row>
    <row r="408">
      <c r="A408" s="13">
        <f>IF($B408="","",ROW()-9)</f>
        <v/>
      </c>
      <c r="B408" s="14" t="n"/>
      <c r="C408" s="15" t="n"/>
      <c r="D408" s="15" t="n"/>
      <c r="E408" s="15" t="n"/>
      <c r="F408" s="15">
        <f>IF($E408="","",IFERROR(VLOOKUP($E408,AKUN!$A$2:$B$200,2,FALSE),"Kode tidak ditemukan"))</f>
        <v/>
      </c>
      <c r="G408" s="15" t="n"/>
      <c r="H408" s="17" t="n"/>
      <c r="I408" s="17" t="n"/>
      <c r="J408" s="13">
        <f>IF($B408="","",MONTH($B408))</f>
        <v/>
      </c>
      <c r="K408" s="13">
        <f>IF($B408="","",YEAR($B408))</f>
        <v/>
      </c>
    </row>
    <row r="409">
      <c r="A409" s="18">
        <f>IF($B409="","",ROW()-9)</f>
        <v/>
      </c>
      <c r="B409" s="19" t="n"/>
      <c r="C409" s="4" t="n"/>
      <c r="D409" s="4" t="n"/>
      <c r="E409" s="4" t="n"/>
      <c r="F409" s="4">
        <f>IF($E409="","",IFERROR(VLOOKUP($E409,AKUN!$A$2:$B$200,2,FALSE),"Kode tidak ditemukan"))</f>
        <v/>
      </c>
      <c r="G409" s="4" t="n"/>
      <c r="H409" s="9" t="n"/>
      <c r="I409" s="9" t="n"/>
      <c r="J409" s="18">
        <f>IF($B409="","",MONTH($B409))</f>
        <v/>
      </c>
      <c r="K409" s="18">
        <f>IF($B409="","",YEAR($B409))</f>
        <v/>
      </c>
    </row>
    <row r="410">
      <c r="A410" s="13">
        <f>IF($B410="","",ROW()-9)</f>
        <v/>
      </c>
      <c r="B410" s="14" t="n"/>
      <c r="C410" s="15" t="n"/>
      <c r="D410" s="15" t="n"/>
      <c r="E410" s="15" t="n"/>
      <c r="F410" s="15">
        <f>IF($E410="","",IFERROR(VLOOKUP($E410,AKUN!$A$2:$B$200,2,FALSE),"Kode tidak ditemukan"))</f>
        <v/>
      </c>
      <c r="G410" s="15" t="n"/>
      <c r="H410" s="17" t="n"/>
      <c r="I410" s="17" t="n"/>
      <c r="J410" s="13">
        <f>IF($B410="","",MONTH($B410))</f>
        <v/>
      </c>
      <c r="K410" s="13">
        <f>IF($B410="","",YEAR($B410))</f>
        <v/>
      </c>
    </row>
    <row r="411">
      <c r="A411" s="18">
        <f>IF($B411="","",ROW()-9)</f>
        <v/>
      </c>
      <c r="B411" s="19" t="n"/>
      <c r="C411" s="4" t="n"/>
      <c r="D411" s="4" t="n"/>
      <c r="E411" s="4" t="n"/>
      <c r="F411" s="4">
        <f>IF($E411="","",IFERROR(VLOOKUP($E411,AKUN!$A$2:$B$200,2,FALSE),"Kode tidak ditemukan"))</f>
        <v/>
      </c>
      <c r="G411" s="4" t="n"/>
      <c r="H411" s="9" t="n"/>
      <c r="I411" s="9" t="n"/>
      <c r="J411" s="18">
        <f>IF($B411="","",MONTH($B411))</f>
        <v/>
      </c>
      <c r="K411" s="18">
        <f>IF($B411="","",YEAR($B411))</f>
        <v/>
      </c>
    </row>
    <row r="412">
      <c r="A412" s="13">
        <f>IF($B412="","",ROW()-9)</f>
        <v/>
      </c>
      <c r="B412" s="14" t="n"/>
      <c r="C412" s="15" t="n"/>
      <c r="D412" s="15" t="n"/>
      <c r="E412" s="15" t="n"/>
      <c r="F412" s="15">
        <f>IF($E412="","",IFERROR(VLOOKUP($E412,AKUN!$A$2:$B$200,2,FALSE),"Kode tidak ditemukan"))</f>
        <v/>
      </c>
      <c r="G412" s="15" t="n"/>
      <c r="H412" s="17" t="n"/>
      <c r="I412" s="17" t="n"/>
      <c r="J412" s="13">
        <f>IF($B412="","",MONTH($B412))</f>
        <v/>
      </c>
      <c r="K412" s="13">
        <f>IF($B412="","",YEAR($B412))</f>
        <v/>
      </c>
    </row>
    <row r="413">
      <c r="A413" s="18">
        <f>IF($B413="","",ROW()-9)</f>
        <v/>
      </c>
      <c r="B413" s="19" t="n"/>
      <c r="C413" s="4" t="n"/>
      <c r="D413" s="4" t="n"/>
      <c r="E413" s="4" t="n"/>
      <c r="F413" s="4">
        <f>IF($E413="","",IFERROR(VLOOKUP($E413,AKUN!$A$2:$B$200,2,FALSE),"Kode tidak ditemukan"))</f>
        <v/>
      </c>
      <c r="G413" s="4" t="n"/>
      <c r="H413" s="9" t="n"/>
      <c r="I413" s="9" t="n"/>
      <c r="J413" s="18">
        <f>IF($B413="","",MONTH($B413))</f>
        <v/>
      </c>
      <c r="K413" s="18">
        <f>IF($B413="","",YEAR($B413))</f>
        <v/>
      </c>
    </row>
    <row r="414">
      <c r="A414" s="13">
        <f>IF($B414="","",ROW()-9)</f>
        <v/>
      </c>
      <c r="B414" s="14" t="n"/>
      <c r="C414" s="15" t="n"/>
      <c r="D414" s="15" t="n"/>
      <c r="E414" s="15" t="n"/>
      <c r="F414" s="15">
        <f>IF($E414="","",IFERROR(VLOOKUP($E414,AKUN!$A$2:$B$200,2,FALSE),"Kode tidak ditemukan"))</f>
        <v/>
      </c>
      <c r="G414" s="15" t="n"/>
      <c r="H414" s="17" t="n"/>
      <c r="I414" s="17" t="n"/>
      <c r="J414" s="13">
        <f>IF($B414="","",MONTH($B414))</f>
        <v/>
      </c>
      <c r="K414" s="13">
        <f>IF($B414="","",YEAR($B414))</f>
        <v/>
      </c>
    </row>
    <row r="415">
      <c r="A415" s="18">
        <f>IF($B415="","",ROW()-9)</f>
        <v/>
      </c>
      <c r="B415" s="19" t="n"/>
      <c r="C415" s="4" t="n"/>
      <c r="D415" s="4" t="n"/>
      <c r="E415" s="4" t="n"/>
      <c r="F415" s="4">
        <f>IF($E415="","",IFERROR(VLOOKUP($E415,AKUN!$A$2:$B$200,2,FALSE),"Kode tidak ditemukan"))</f>
        <v/>
      </c>
      <c r="G415" s="4" t="n"/>
      <c r="H415" s="9" t="n"/>
      <c r="I415" s="9" t="n"/>
      <c r="J415" s="18">
        <f>IF($B415="","",MONTH($B415))</f>
        <v/>
      </c>
      <c r="K415" s="18">
        <f>IF($B415="","",YEAR($B415))</f>
        <v/>
      </c>
    </row>
    <row r="416">
      <c r="A416" s="13">
        <f>IF($B416="","",ROW()-9)</f>
        <v/>
      </c>
      <c r="B416" s="14" t="n"/>
      <c r="C416" s="15" t="n"/>
      <c r="D416" s="15" t="n"/>
      <c r="E416" s="15" t="n"/>
      <c r="F416" s="15">
        <f>IF($E416="","",IFERROR(VLOOKUP($E416,AKUN!$A$2:$B$200,2,FALSE),"Kode tidak ditemukan"))</f>
        <v/>
      </c>
      <c r="G416" s="15" t="n"/>
      <c r="H416" s="17" t="n"/>
      <c r="I416" s="17" t="n"/>
      <c r="J416" s="13">
        <f>IF($B416="","",MONTH($B416))</f>
        <v/>
      </c>
      <c r="K416" s="13">
        <f>IF($B416="","",YEAR($B416))</f>
        <v/>
      </c>
    </row>
    <row r="417">
      <c r="A417" s="18">
        <f>IF($B417="","",ROW()-9)</f>
        <v/>
      </c>
      <c r="B417" s="19" t="n"/>
      <c r="C417" s="4" t="n"/>
      <c r="D417" s="4" t="n"/>
      <c r="E417" s="4" t="n"/>
      <c r="F417" s="4">
        <f>IF($E417="","",IFERROR(VLOOKUP($E417,AKUN!$A$2:$B$200,2,FALSE),"Kode tidak ditemukan"))</f>
        <v/>
      </c>
      <c r="G417" s="4" t="n"/>
      <c r="H417" s="9" t="n"/>
      <c r="I417" s="9" t="n"/>
      <c r="J417" s="18">
        <f>IF($B417="","",MONTH($B417))</f>
        <v/>
      </c>
      <c r="K417" s="18">
        <f>IF($B417="","",YEAR($B417))</f>
        <v/>
      </c>
    </row>
    <row r="418">
      <c r="A418" s="13">
        <f>IF($B418="","",ROW()-9)</f>
        <v/>
      </c>
      <c r="B418" s="14" t="n"/>
      <c r="C418" s="15" t="n"/>
      <c r="D418" s="15" t="n"/>
      <c r="E418" s="15" t="n"/>
      <c r="F418" s="15">
        <f>IF($E418="","",IFERROR(VLOOKUP($E418,AKUN!$A$2:$B$200,2,FALSE),"Kode tidak ditemukan"))</f>
        <v/>
      </c>
      <c r="G418" s="15" t="n"/>
      <c r="H418" s="17" t="n"/>
      <c r="I418" s="17" t="n"/>
      <c r="J418" s="13">
        <f>IF($B418="","",MONTH($B418))</f>
        <v/>
      </c>
      <c r="K418" s="13">
        <f>IF($B418="","",YEAR($B418))</f>
        <v/>
      </c>
    </row>
    <row r="419">
      <c r="A419" s="18">
        <f>IF($B419="","",ROW()-9)</f>
        <v/>
      </c>
      <c r="B419" s="19" t="n"/>
      <c r="C419" s="4" t="n"/>
      <c r="D419" s="4" t="n"/>
      <c r="E419" s="4" t="n"/>
      <c r="F419" s="4">
        <f>IF($E419="","",IFERROR(VLOOKUP($E419,AKUN!$A$2:$B$200,2,FALSE),"Kode tidak ditemukan"))</f>
        <v/>
      </c>
      <c r="G419" s="4" t="n"/>
      <c r="H419" s="9" t="n"/>
      <c r="I419" s="9" t="n"/>
      <c r="J419" s="18">
        <f>IF($B419="","",MONTH($B419))</f>
        <v/>
      </c>
      <c r="K419" s="18">
        <f>IF($B419="","",YEAR($B419))</f>
        <v/>
      </c>
    </row>
    <row r="420">
      <c r="A420" s="13">
        <f>IF($B420="","",ROW()-9)</f>
        <v/>
      </c>
      <c r="B420" s="14" t="n"/>
      <c r="C420" s="15" t="n"/>
      <c r="D420" s="15" t="n"/>
      <c r="E420" s="15" t="n"/>
      <c r="F420" s="15">
        <f>IF($E420="","",IFERROR(VLOOKUP($E420,AKUN!$A$2:$B$200,2,FALSE),"Kode tidak ditemukan"))</f>
        <v/>
      </c>
      <c r="G420" s="15" t="n"/>
      <c r="H420" s="17" t="n"/>
      <c r="I420" s="17" t="n"/>
      <c r="J420" s="13">
        <f>IF($B420="","",MONTH($B420))</f>
        <v/>
      </c>
      <c r="K420" s="13">
        <f>IF($B420="","",YEAR($B420))</f>
        <v/>
      </c>
    </row>
    <row r="421">
      <c r="A421" s="18">
        <f>IF($B421="","",ROW()-9)</f>
        <v/>
      </c>
      <c r="B421" s="19" t="n"/>
      <c r="C421" s="4" t="n"/>
      <c r="D421" s="4" t="n"/>
      <c r="E421" s="4" t="n"/>
      <c r="F421" s="4">
        <f>IF($E421="","",IFERROR(VLOOKUP($E421,AKUN!$A$2:$B$200,2,FALSE),"Kode tidak ditemukan"))</f>
        <v/>
      </c>
      <c r="G421" s="4" t="n"/>
      <c r="H421" s="9" t="n"/>
      <c r="I421" s="9" t="n"/>
      <c r="J421" s="18">
        <f>IF($B421="","",MONTH($B421))</f>
        <v/>
      </c>
      <c r="K421" s="18">
        <f>IF($B421="","",YEAR($B421))</f>
        <v/>
      </c>
    </row>
    <row r="422">
      <c r="A422" s="13">
        <f>IF($B422="","",ROW()-9)</f>
        <v/>
      </c>
      <c r="B422" s="14" t="n"/>
      <c r="C422" s="15" t="n"/>
      <c r="D422" s="15" t="n"/>
      <c r="E422" s="15" t="n"/>
      <c r="F422" s="15">
        <f>IF($E422="","",IFERROR(VLOOKUP($E422,AKUN!$A$2:$B$200,2,FALSE),"Kode tidak ditemukan"))</f>
        <v/>
      </c>
      <c r="G422" s="15" t="n"/>
      <c r="H422" s="17" t="n"/>
      <c r="I422" s="17" t="n"/>
      <c r="J422" s="13">
        <f>IF($B422="","",MONTH($B422))</f>
        <v/>
      </c>
      <c r="K422" s="13">
        <f>IF($B422="","",YEAR($B422))</f>
        <v/>
      </c>
    </row>
    <row r="423">
      <c r="A423" s="18">
        <f>IF($B423="","",ROW()-9)</f>
        <v/>
      </c>
      <c r="B423" s="19" t="n"/>
      <c r="C423" s="4" t="n"/>
      <c r="D423" s="4" t="n"/>
      <c r="E423" s="4" t="n"/>
      <c r="F423" s="4">
        <f>IF($E423="","",IFERROR(VLOOKUP($E423,AKUN!$A$2:$B$200,2,FALSE),"Kode tidak ditemukan"))</f>
        <v/>
      </c>
      <c r="G423" s="4" t="n"/>
      <c r="H423" s="9" t="n"/>
      <c r="I423" s="9" t="n"/>
      <c r="J423" s="18">
        <f>IF($B423="","",MONTH($B423))</f>
        <v/>
      </c>
      <c r="K423" s="18">
        <f>IF($B423="","",YEAR($B423))</f>
        <v/>
      </c>
    </row>
    <row r="424">
      <c r="A424" s="13">
        <f>IF($B424="","",ROW()-9)</f>
        <v/>
      </c>
      <c r="B424" s="14" t="n"/>
      <c r="C424" s="15" t="n"/>
      <c r="D424" s="15" t="n"/>
      <c r="E424" s="15" t="n"/>
      <c r="F424" s="15">
        <f>IF($E424="","",IFERROR(VLOOKUP($E424,AKUN!$A$2:$B$200,2,FALSE),"Kode tidak ditemukan"))</f>
        <v/>
      </c>
      <c r="G424" s="15" t="n"/>
      <c r="H424" s="17" t="n"/>
      <c r="I424" s="17" t="n"/>
      <c r="J424" s="13">
        <f>IF($B424="","",MONTH($B424))</f>
        <v/>
      </c>
      <c r="K424" s="13">
        <f>IF($B424="","",YEAR($B424))</f>
        <v/>
      </c>
    </row>
    <row r="425">
      <c r="A425" s="18">
        <f>IF($B425="","",ROW()-9)</f>
        <v/>
      </c>
      <c r="B425" s="19" t="n"/>
      <c r="C425" s="4" t="n"/>
      <c r="D425" s="4" t="n"/>
      <c r="E425" s="4" t="n"/>
      <c r="F425" s="4">
        <f>IF($E425="","",IFERROR(VLOOKUP($E425,AKUN!$A$2:$B$200,2,FALSE),"Kode tidak ditemukan"))</f>
        <v/>
      </c>
      <c r="G425" s="4" t="n"/>
      <c r="H425" s="9" t="n"/>
      <c r="I425" s="9" t="n"/>
      <c r="J425" s="18">
        <f>IF($B425="","",MONTH($B425))</f>
        <v/>
      </c>
      <c r="K425" s="18">
        <f>IF($B425="","",YEAR($B425))</f>
        <v/>
      </c>
    </row>
    <row r="426">
      <c r="A426" s="13">
        <f>IF($B426="","",ROW()-9)</f>
        <v/>
      </c>
      <c r="B426" s="14" t="n"/>
      <c r="C426" s="15" t="n"/>
      <c r="D426" s="15" t="n"/>
      <c r="E426" s="15" t="n"/>
      <c r="F426" s="15">
        <f>IF($E426="","",IFERROR(VLOOKUP($E426,AKUN!$A$2:$B$200,2,FALSE),"Kode tidak ditemukan"))</f>
        <v/>
      </c>
      <c r="G426" s="15" t="n"/>
      <c r="H426" s="17" t="n"/>
      <c r="I426" s="17" t="n"/>
      <c r="J426" s="13">
        <f>IF($B426="","",MONTH($B426))</f>
        <v/>
      </c>
      <c r="K426" s="13">
        <f>IF($B426="","",YEAR($B426))</f>
        <v/>
      </c>
    </row>
    <row r="427">
      <c r="A427" s="18">
        <f>IF($B427="","",ROW()-9)</f>
        <v/>
      </c>
      <c r="B427" s="19" t="n"/>
      <c r="C427" s="4" t="n"/>
      <c r="D427" s="4" t="n"/>
      <c r="E427" s="4" t="n"/>
      <c r="F427" s="4">
        <f>IF($E427="","",IFERROR(VLOOKUP($E427,AKUN!$A$2:$B$200,2,FALSE),"Kode tidak ditemukan"))</f>
        <v/>
      </c>
      <c r="G427" s="4" t="n"/>
      <c r="H427" s="9" t="n"/>
      <c r="I427" s="9" t="n"/>
      <c r="J427" s="18">
        <f>IF($B427="","",MONTH($B427))</f>
        <v/>
      </c>
      <c r="K427" s="18">
        <f>IF($B427="","",YEAR($B427))</f>
        <v/>
      </c>
    </row>
    <row r="428">
      <c r="A428" s="13">
        <f>IF($B428="","",ROW()-9)</f>
        <v/>
      </c>
      <c r="B428" s="14" t="n"/>
      <c r="C428" s="15" t="n"/>
      <c r="D428" s="15" t="n"/>
      <c r="E428" s="15" t="n"/>
      <c r="F428" s="15">
        <f>IF($E428="","",IFERROR(VLOOKUP($E428,AKUN!$A$2:$B$200,2,FALSE),"Kode tidak ditemukan"))</f>
        <v/>
      </c>
      <c r="G428" s="15" t="n"/>
      <c r="H428" s="17" t="n"/>
      <c r="I428" s="17" t="n"/>
      <c r="J428" s="13">
        <f>IF($B428="","",MONTH($B428))</f>
        <v/>
      </c>
      <c r="K428" s="13">
        <f>IF($B428="","",YEAR($B428))</f>
        <v/>
      </c>
    </row>
    <row r="429">
      <c r="A429" s="18">
        <f>IF($B429="","",ROW()-9)</f>
        <v/>
      </c>
      <c r="B429" s="19" t="n"/>
      <c r="C429" s="4" t="n"/>
      <c r="D429" s="4" t="n"/>
      <c r="E429" s="4" t="n"/>
      <c r="F429" s="4">
        <f>IF($E429="","",IFERROR(VLOOKUP($E429,AKUN!$A$2:$B$200,2,FALSE),"Kode tidak ditemukan"))</f>
        <v/>
      </c>
      <c r="G429" s="4" t="n"/>
      <c r="H429" s="9" t="n"/>
      <c r="I429" s="9" t="n"/>
      <c r="J429" s="18">
        <f>IF($B429="","",MONTH($B429))</f>
        <v/>
      </c>
      <c r="K429" s="18">
        <f>IF($B429="","",YEAR($B429))</f>
        <v/>
      </c>
    </row>
    <row r="430">
      <c r="A430" s="13">
        <f>IF($B430="","",ROW()-9)</f>
        <v/>
      </c>
      <c r="B430" s="14" t="n"/>
      <c r="C430" s="15" t="n"/>
      <c r="D430" s="15" t="n"/>
      <c r="E430" s="15" t="n"/>
      <c r="F430" s="15">
        <f>IF($E430="","",IFERROR(VLOOKUP($E430,AKUN!$A$2:$B$200,2,FALSE),"Kode tidak ditemukan"))</f>
        <v/>
      </c>
      <c r="G430" s="15" t="n"/>
      <c r="H430" s="17" t="n"/>
      <c r="I430" s="17" t="n"/>
      <c r="J430" s="13">
        <f>IF($B430="","",MONTH($B430))</f>
        <v/>
      </c>
      <c r="K430" s="13">
        <f>IF($B430="","",YEAR($B430))</f>
        <v/>
      </c>
    </row>
    <row r="431">
      <c r="A431" s="18">
        <f>IF($B431="","",ROW()-9)</f>
        <v/>
      </c>
      <c r="B431" s="19" t="n"/>
      <c r="C431" s="4" t="n"/>
      <c r="D431" s="4" t="n"/>
      <c r="E431" s="4" t="n"/>
      <c r="F431" s="4">
        <f>IF($E431="","",IFERROR(VLOOKUP($E431,AKUN!$A$2:$B$200,2,FALSE),"Kode tidak ditemukan"))</f>
        <v/>
      </c>
      <c r="G431" s="4" t="n"/>
      <c r="H431" s="9" t="n"/>
      <c r="I431" s="9" t="n"/>
      <c r="J431" s="18">
        <f>IF($B431="","",MONTH($B431))</f>
        <v/>
      </c>
      <c r="K431" s="18">
        <f>IF($B431="","",YEAR($B431))</f>
        <v/>
      </c>
    </row>
    <row r="432">
      <c r="A432" s="13">
        <f>IF($B432="","",ROW()-9)</f>
        <v/>
      </c>
      <c r="B432" s="14" t="n"/>
      <c r="C432" s="15" t="n"/>
      <c r="D432" s="15" t="n"/>
      <c r="E432" s="15" t="n"/>
      <c r="F432" s="15">
        <f>IF($E432="","",IFERROR(VLOOKUP($E432,AKUN!$A$2:$B$200,2,FALSE),"Kode tidak ditemukan"))</f>
        <v/>
      </c>
      <c r="G432" s="15" t="n"/>
      <c r="H432" s="17" t="n"/>
      <c r="I432" s="17" t="n"/>
      <c r="J432" s="13">
        <f>IF($B432="","",MONTH($B432))</f>
        <v/>
      </c>
      <c r="K432" s="13">
        <f>IF($B432="","",YEAR($B432))</f>
        <v/>
      </c>
    </row>
    <row r="433">
      <c r="A433" s="18">
        <f>IF($B433="","",ROW()-9)</f>
        <v/>
      </c>
      <c r="B433" s="19" t="n"/>
      <c r="C433" s="4" t="n"/>
      <c r="D433" s="4" t="n"/>
      <c r="E433" s="4" t="n"/>
      <c r="F433" s="4">
        <f>IF($E433="","",IFERROR(VLOOKUP($E433,AKUN!$A$2:$B$200,2,FALSE),"Kode tidak ditemukan"))</f>
        <v/>
      </c>
      <c r="G433" s="4" t="n"/>
      <c r="H433" s="9" t="n"/>
      <c r="I433" s="9" t="n"/>
      <c r="J433" s="18">
        <f>IF($B433="","",MONTH($B433))</f>
        <v/>
      </c>
      <c r="K433" s="18">
        <f>IF($B433="","",YEAR($B433))</f>
        <v/>
      </c>
    </row>
    <row r="434">
      <c r="A434" s="13">
        <f>IF($B434="","",ROW()-9)</f>
        <v/>
      </c>
      <c r="B434" s="14" t="n"/>
      <c r="C434" s="15" t="n"/>
      <c r="D434" s="15" t="n"/>
      <c r="E434" s="15" t="n"/>
      <c r="F434" s="15">
        <f>IF($E434="","",IFERROR(VLOOKUP($E434,AKUN!$A$2:$B$200,2,FALSE),"Kode tidak ditemukan"))</f>
        <v/>
      </c>
      <c r="G434" s="15" t="n"/>
      <c r="H434" s="17" t="n"/>
      <c r="I434" s="17" t="n"/>
      <c r="J434" s="13">
        <f>IF($B434="","",MONTH($B434))</f>
        <v/>
      </c>
      <c r="K434" s="13">
        <f>IF($B434="","",YEAR($B434))</f>
        <v/>
      </c>
    </row>
    <row r="435">
      <c r="A435" s="18">
        <f>IF($B435="","",ROW()-9)</f>
        <v/>
      </c>
      <c r="B435" s="19" t="n"/>
      <c r="C435" s="4" t="n"/>
      <c r="D435" s="4" t="n"/>
      <c r="E435" s="4" t="n"/>
      <c r="F435" s="4">
        <f>IF($E435="","",IFERROR(VLOOKUP($E435,AKUN!$A$2:$B$200,2,FALSE),"Kode tidak ditemukan"))</f>
        <v/>
      </c>
      <c r="G435" s="4" t="n"/>
      <c r="H435" s="9" t="n"/>
      <c r="I435" s="9" t="n"/>
      <c r="J435" s="18">
        <f>IF($B435="","",MONTH($B435))</f>
        <v/>
      </c>
      <c r="K435" s="18">
        <f>IF($B435="","",YEAR($B435))</f>
        <v/>
      </c>
    </row>
    <row r="436">
      <c r="A436" s="13">
        <f>IF($B436="","",ROW()-9)</f>
        <v/>
      </c>
      <c r="B436" s="14" t="n"/>
      <c r="C436" s="15" t="n"/>
      <c r="D436" s="15" t="n"/>
      <c r="E436" s="15" t="n"/>
      <c r="F436" s="15">
        <f>IF($E436="","",IFERROR(VLOOKUP($E436,AKUN!$A$2:$B$200,2,FALSE),"Kode tidak ditemukan"))</f>
        <v/>
      </c>
      <c r="G436" s="15" t="n"/>
      <c r="H436" s="17" t="n"/>
      <c r="I436" s="17" t="n"/>
      <c r="J436" s="13">
        <f>IF($B436="","",MONTH($B436))</f>
        <v/>
      </c>
      <c r="K436" s="13">
        <f>IF($B436="","",YEAR($B436))</f>
        <v/>
      </c>
    </row>
    <row r="437">
      <c r="A437" s="18">
        <f>IF($B437="","",ROW()-9)</f>
        <v/>
      </c>
      <c r="B437" s="19" t="n"/>
      <c r="C437" s="4" t="n"/>
      <c r="D437" s="4" t="n"/>
      <c r="E437" s="4" t="n"/>
      <c r="F437" s="4">
        <f>IF($E437="","",IFERROR(VLOOKUP($E437,AKUN!$A$2:$B$200,2,FALSE),"Kode tidak ditemukan"))</f>
        <v/>
      </c>
      <c r="G437" s="4" t="n"/>
      <c r="H437" s="9" t="n"/>
      <c r="I437" s="9" t="n"/>
      <c r="J437" s="18">
        <f>IF($B437="","",MONTH($B437))</f>
        <v/>
      </c>
      <c r="K437" s="18">
        <f>IF($B437="","",YEAR($B437))</f>
        <v/>
      </c>
    </row>
    <row r="438">
      <c r="A438" s="13">
        <f>IF($B438="","",ROW()-9)</f>
        <v/>
      </c>
      <c r="B438" s="14" t="n"/>
      <c r="C438" s="15" t="n"/>
      <c r="D438" s="15" t="n"/>
      <c r="E438" s="15" t="n"/>
      <c r="F438" s="15">
        <f>IF($E438="","",IFERROR(VLOOKUP($E438,AKUN!$A$2:$B$200,2,FALSE),"Kode tidak ditemukan"))</f>
        <v/>
      </c>
      <c r="G438" s="15" t="n"/>
      <c r="H438" s="17" t="n"/>
      <c r="I438" s="17" t="n"/>
      <c r="J438" s="13">
        <f>IF($B438="","",MONTH($B438))</f>
        <v/>
      </c>
      <c r="K438" s="13">
        <f>IF($B438="","",YEAR($B438))</f>
        <v/>
      </c>
    </row>
    <row r="439">
      <c r="A439" s="18">
        <f>IF($B439="","",ROW()-9)</f>
        <v/>
      </c>
      <c r="B439" s="19" t="n"/>
      <c r="C439" s="4" t="n"/>
      <c r="D439" s="4" t="n"/>
      <c r="E439" s="4" t="n"/>
      <c r="F439" s="4">
        <f>IF($E439="","",IFERROR(VLOOKUP($E439,AKUN!$A$2:$B$200,2,FALSE),"Kode tidak ditemukan"))</f>
        <v/>
      </c>
      <c r="G439" s="4" t="n"/>
      <c r="H439" s="9" t="n"/>
      <c r="I439" s="9" t="n"/>
      <c r="J439" s="18">
        <f>IF($B439="","",MONTH($B439))</f>
        <v/>
      </c>
      <c r="K439" s="18">
        <f>IF($B439="","",YEAR($B439))</f>
        <v/>
      </c>
    </row>
    <row r="440">
      <c r="A440" s="13">
        <f>IF($B440="","",ROW()-9)</f>
        <v/>
      </c>
      <c r="B440" s="14" t="n"/>
      <c r="C440" s="15" t="n"/>
      <c r="D440" s="15" t="n"/>
      <c r="E440" s="15" t="n"/>
      <c r="F440" s="15">
        <f>IF($E440="","",IFERROR(VLOOKUP($E440,AKUN!$A$2:$B$200,2,FALSE),"Kode tidak ditemukan"))</f>
        <v/>
      </c>
      <c r="G440" s="15" t="n"/>
      <c r="H440" s="17" t="n"/>
      <c r="I440" s="17" t="n"/>
      <c r="J440" s="13">
        <f>IF($B440="","",MONTH($B440))</f>
        <v/>
      </c>
      <c r="K440" s="13">
        <f>IF($B440="","",YEAR($B440))</f>
        <v/>
      </c>
    </row>
    <row r="441">
      <c r="A441" s="18">
        <f>IF($B441="","",ROW()-9)</f>
        <v/>
      </c>
      <c r="B441" s="19" t="n"/>
      <c r="C441" s="4" t="n"/>
      <c r="D441" s="4" t="n"/>
      <c r="E441" s="4" t="n"/>
      <c r="F441" s="4">
        <f>IF($E441="","",IFERROR(VLOOKUP($E441,AKUN!$A$2:$B$200,2,FALSE),"Kode tidak ditemukan"))</f>
        <v/>
      </c>
      <c r="G441" s="4" t="n"/>
      <c r="H441" s="9" t="n"/>
      <c r="I441" s="9" t="n"/>
      <c r="J441" s="18">
        <f>IF($B441="","",MONTH($B441))</f>
        <v/>
      </c>
      <c r="K441" s="18">
        <f>IF($B441="","",YEAR($B441))</f>
        <v/>
      </c>
    </row>
    <row r="442">
      <c r="A442" s="13">
        <f>IF($B442="","",ROW()-9)</f>
        <v/>
      </c>
      <c r="B442" s="14" t="n"/>
      <c r="C442" s="15" t="n"/>
      <c r="D442" s="15" t="n"/>
      <c r="E442" s="15" t="n"/>
      <c r="F442" s="15">
        <f>IF($E442="","",IFERROR(VLOOKUP($E442,AKUN!$A$2:$B$200,2,FALSE),"Kode tidak ditemukan"))</f>
        <v/>
      </c>
      <c r="G442" s="15" t="n"/>
      <c r="H442" s="17" t="n"/>
      <c r="I442" s="17" t="n"/>
      <c r="J442" s="13">
        <f>IF($B442="","",MONTH($B442))</f>
        <v/>
      </c>
      <c r="K442" s="13">
        <f>IF($B442="","",YEAR($B442))</f>
        <v/>
      </c>
    </row>
    <row r="443">
      <c r="A443" s="18">
        <f>IF($B443="","",ROW()-9)</f>
        <v/>
      </c>
      <c r="B443" s="19" t="n"/>
      <c r="C443" s="4" t="n"/>
      <c r="D443" s="4" t="n"/>
      <c r="E443" s="4" t="n"/>
      <c r="F443" s="4">
        <f>IF($E443="","",IFERROR(VLOOKUP($E443,AKUN!$A$2:$B$200,2,FALSE),"Kode tidak ditemukan"))</f>
        <v/>
      </c>
      <c r="G443" s="4" t="n"/>
      <c r="H443" s="9" t="n"/>
      <c r="I443" s="9" t="n"/>
      <c r="J443" s="18">
        <f>IF($B443="","",MONTH($B443))</f>
        <v/>
      </c>
      <c r="K443" s="18">
        <f>IF($B443="","",YEAR($B443))</f>
        <v/>
      </c>
    </row>
    <row r="444">
      <c r="A444" s="13">
        <f>IF($B444="","",ROW()-9)</f>
        <v/>
      </c>
      <c r="B444" s="14" t="n"/>
      <c r="C444" s="15" t="n"/>
      <c r="D444" s="15" t="n"/>
      <c r="E444" s="15" t="n"/>
      <c r="F444" s="15">
        <f>IF($E444="","",IFERROR(VLOOKUP($E444,AKUN!$A$2:$B$200,2,FALSE),"Kode tidak ditemukan"))</f>
        <v/>
      </c>
      <c r="G444" s="15" t="n"/>
      <c r="H444" s="17" t="n"/>
      <c r="I444" s="17" t="n"/>
      <c r="J444" s="13">
        <f>IF($B444="","",MONTH($B444))</f>
        <v/>
      </c>
      <c r="K444" s="13">
        <f>IF($B444="","",YEAR($B444))</f>
        <v/>
      </c>
    </row>
    <row r="445">
      <c r="A445" s="18">
        <f>IF($B445="","",ROW()-9)</f>
        <v/>
      </c>
      <c r="B445" s="19" t="n"/>
      <c r="C445" s="4" t="n"/>
      <c r="D445" s="4" t="n"/>
      <c r="E445" s="4" t="n"/>
      <c r="F445" s="4">
        <f>IF($E445="","",IFERROR(VLOOKUP($E445,AKUN!$A$2:$B$200,2,FALSE),"Kode tidak ditemukan"))</f>
        <v/>
      </c>
      <c r="G445" s="4" t="n"/>
      <c r="H445" s="9" t="n"/>
      <c r="I445" s="9" t="n"/>
      <c r="J445" s="18">
        <f>IF($B445="","",MONTH($B445))</f>
        <v/>
      </c>
      <c r="K445" s="18">
        <f>IF($B445="","",YEAR($B445))</f>
        <v/>
      </c>
    </row>
    <row r="446">
      <c r="A446" s="13">
        <f>IF($B446="","",ROW()-9)</f>
        <v/>
      </c>
      <c r="B446" s="14" t="n"/>
      <c r="C446" s="15" t="n"/>
      <c r="D446" s="15" t="n"/>
      <c r="E446" s="15" t="n"/>
      <c r="F446" s="15">
        <f>IF($E446="","",IFERROR(VLOOKUP($E446,AKUN!$A$2:$B$200,2,FALSE),"Kode tidak ditemukan"))</f>
        <v/>
      </c>
      <c r="G446" s="15" t="n"/>
      <c r="H446" s="17" t="n"/>
      <c r="I446" s="17" t="n"/>
      <c r="J446" s="13">
        <f>IF($B446="","",MONTH($B446))</f>
        <v/>
      </c>
      <c r="K446" s="13">
        <f>IF($B446="","",YEAR($B446))</f>
        <v/>
      </c>
    </row>
    <row r="447">
      <c r="A447" s="18">
        <f>IF($B447="","",ROW()-9)</f>
        <v/>
      </c>
      <c r="B447" s="19" t="n"/>
      <c r="C447" s="4" t="n"/>
      <c r="D447" s="4" t="n"/>
      <c r="E447" s="4" t="n"/>
      <c r="F447" s="4">
        <f>IF($E447="","",IFERROR(VLOOKUP($E447,AKUN!$A$2:$B$200,2,FALSE),"Kode tidak ditemukan"))</f>
        <v/>
      </c>
      <c r="G447" s="4" t="n"/>
      <c r="H447" s="9" t="n"/>
      <c r="I447" s="9" t="n"/>
      <c r="J447" s="18">
        <f>IF($B447="","",MONTH($B447))</f>
        <v/>
      </c>
      <c r="K447" s="18">
        <f>IF($B447="","",YEAR($B447))</f>
        <v/>
      </c>
    </row>
    <row r="448">
      <c r="A448" s="13">
        <f>IF($B448="","",ROW()-9)</f>
        <v/>
      </c>
      <c r="B448" s="14" t="n"/>
      <c r="C448" s="15" t="n"/>
      <c r="D448" s="15" t="n"/>
      <c r="E448" s="15" t="n"/>
      <c r="F448" s="15">
        <f>IF($E448="","",IFERROR(VLOOKUP($E448,AKUN!$A$2:$B$200,2,FALSE),"Kode tidak ditemukan"))</f>
        <v/>
      </c>
      <c r="G448" s="15" t="n"/>
      <c r="H448" s="17" t="n"/>
      <c r="I448" s="17" t="n"/>
      <c r="J448" s="13">
        <f>IF($B448="","",MONTH($B448))</f>
        <v/>
      </c>
      <c r="K448" s="13">
        <f>IF($B448="","",YEAR($B448))</f>
        <v/>
      </c>
    </row>
    <row r="449">
      <c r="A449" s="18">
        <f>IF($B449="","",ROW()-9)</f>
        <v/>
      </c>
      <c r="B449" s="19" t="n"/>
      <c r="C449" s="4" t="n"/>
      <c r="D449" s="4" t="n"/>
      <c r="E449" s="4" t="n"/>
      <c r="F449" s="4">
        <f>IF($E449="","",IFERROR(VLOOKUP($E449,AKUN!$A$2:$B$200,2,FALSE),"Kode tidak ditemukan"))</f>
        <v/>
      </c>
      <c r="G449" s="4" t="n"/>
      <c r="H449" s="9" t="n"/>
      <c r="I449" s="9" t="n"/>
      <c r="J449" s="18">
        <f>IF($B449="","",MONTH($B449))</f>
        <v/>
      </c>
      <c r="K449" s="18">
        <f>IF($B449="","",YEAR($B449))</f>
        <v/>
      </c>
    </row>
    <row r="450">
      <c r="A450" s="13">
        <f>IF($B450="","",ROW()-9)</f>
        <v/>
      </c>
      <c r="B450" s="14" t="n"/>
      <c r="C450" s="15" t="n"/>
      <c r="D450" s="15" t="n"/>
      <c r="E450" s="15" t="n"/>
      <c r="F450" s="15">
        <f>IF($E450="","",IFERROR(VLOOKUP($E450,AKUN!$A$2:$B$200,2,FALSE),"Kode tidak ditemukan"))</f>
        <v/>
      </c>
      <c r="G450" s="15" t="n"/>
      <c r="H450" s="17" t="n"/>
      <c r="I450" s="17" t="n"/>
      <c r="J450" s="13">
        <f>IF($B450="","",MONTH($B450))</f>
        <v/>
      </c>
      <c r="K450" s="13">
        <f>IF($B450="","",YEAR($B450))</f>
        <v/>
      </c>
    </row>
    <row r="451">
      <c r="A451" s="18">
        <f>IF($B451="","",ROW()-9)</f>
        <v/>
      </c>
      <c r="B451" s="19" t="n"/>
      <c r="C451" s="4" t="n"/>
      <c r="D451" s="4" t="n"/>
      <c r="E451" s="4" t="n"/>
      <c r="F451" s="4">
        <f>IF($E451="","",IFERROR(VLOOKUP($E451,AKUN!$A$2:$B$200,2,FALSE),"Kode tidak ditemukan"))</f>
        <v/>
      </c>
      <c r="G451" s="4" t="n"/>
      <c r="H451" s="9" t="n"/>
      <c r="I451" s="9" t="n"/>
      <c r="J451" s="18">
        <f>IF($B451="","",MONTH($B451))</f>
        <v/>
      </c>
      <c r="K451" s="18">
        <f>IF($B451="","",YEAR($B451))</f>
        <v/>
      </c>
    </row>
    <row r="452">
      <c r="A452" s="13">
        <f>IF($B452="","",ROW()-9)</f>
        <v/>
      </c>
      <c r="B452" s="14" t="n"/>
      <c r="C452" s="15" t="n"/>
      <c r="D452" s="15" t="n"/>
      <c r="E452" s="15" t="n"/>
      <c r="F452" s="15">
        <f>IF($E452="","",IFERROR(VLOOKUP($E452,AKUN!$A$2:$B$200,2,FALSE),"Kode tidak ditemukan"))</f>
        <v/>
      </c>
      <c r="G452" s="15" t="n"/>
      <c r="H452" s="17" t="n"/>
      <c r="I452" s="17" t="n"/>
      <c r="J452" s="13">
        <f>IF($B452="","",MONTH($B452))</f>
        <v/>
      </c>
      <c r="K452" s="13">
        <f>IF($B452="","",YEAR($B452))</f>
        <v/>
      </c>
    </row>
    <row r="453">
      <c r="A453" s="18">
        <f>IF($B453="","",ROW()-9)</f>
        <v/>
      </c>
      <c r="B453" s="19" t="n"/>
      <c r="C453" s="4" t="n"/>
      <c r="D453" s="4" t="n"/>
      <c r="E453" s="4" t="n"/>
      <c r="F453" s="4">
        <f>IF($E453="","",IFERROR(VLOOKUP($E453,AKUN!$A$2:$B$200,2,FALSE),"Kode tidak ditemukan"))</f>
        <v/>
      </c>
      <c r="G453" s="4" t="n"/>
      <c r="H453" s="9" t="n"/>
      <c r="I453" s="9" t="n"/>
      <c r="J453" s="18">
        <f>IF($B453="","",MONTH($B453))</f>
        <v/>
      </c>
      <c r="K453" s="18">
        <f>IF($B453="","",YEAR($B453))</f>
        <v/>
      </c>
    </row>
    <row r="454">
      <c r="A454" s="13">
        <f>IF($B454="","",ROW()-9)</f>
        <v/>
      </c>
      <c r="B454" s="14" t="n"/>
      <c r="C454" s="15" t="n"/>
      <c r="D454" s="15" t="n"/>
      <c r="E454" s="15" t="n"/>
      <c r="F454" s="15">
        <f>IF($E454="","",IFERROR(VLOOKUP($E454,AKUN!$A$2:$B$200,2,FALSE),"Kode tidak ditemukan"))</f>
        <v/>
      </c>
      <c r="G454" s="15" t="n"/>
      <c r="H454" s="17" t="n"/>
      <c r="I454" s="17" t="n"/>
      <c r="J454" s="13">
        <f>IF($B454="","",MONTH($B454))</f>
        <v/>
      </c>
      <c r="K454" s="13">
        <f>IF($B454="","",YEAR($B454))</f>
        <v/>
      </c>
    </row>
    <row r="455">
      <c r="A455" s="18">
        <f>IF($B455="","",ROW()-9)</f>
        <v/>
      </c>
      <c r="B455" s="19" t="n"/>
      <c r="C455" s="4" t="n"/>
      <c r="D455" s="4" t="n"/>
      <c r="E455" s="4" t="n"/>
      <c r="F455" s="4">
        <f>IF($E455="","",IFERROR(VLOOKUP($E455,AKUN!$A$2:$B$200,2,FALSE),"Kode tidak ditemukan"))</f>
        <v/>
      </c>
      <c r="G455" s="4" t="n"/>
      <c r="H455" s="9" t="n"/>
      <c r="I455" s="9" t="n"/>
      <c r="J455" s="18">
        <f>IF($B455="","",MONTH($B455))</f>
        <v/>
      </c>
      <c r="K455" s="18">
        <f>IF($B455="","",YEAR($B455))</f>
        <v/>
      </c>
    </row>
    <row r="456">
      <c r="A456" s="13">
        <f>IF($B456="","",ROW()-9)</f>
        <v/>
      </c>
      <c r="B456" s="14" t="n"/>
      <c r="C456" s="15" t="n"/>
      <c r="D456" s="15" t="n"/>
      <c r="E456" s="15" t="n"/>
      <c r="F456" s="15">
        <f>IF($E456="","",IFERROR(VLOOKUP($E456,AKUN!$A$2:$B$200,2,FALSE),"Kode tidak ditemukan"))</f>
        <v/>
      </c>
      <c r="G456" s="15" t="n"/>
      <c r="H456" s="17" t="n"/>
      <c r="I456" s="17" t="n"/>
      <c r="J456" s="13">
        <f>IF($B456="","",MONTH($B456))</f>
        <v/>
      </c>
      <c r="K456" s="13">
        <f>IF($B456="","",YEAR($B456))</f>
        <v/>
      </c>
    </row>
    <row r="457">
      <c r="A457" s="18">
        <f>IF($B457="","",ROW()-9)</f>
        <v/>
      </c>
      <c r="B457" s="19" t="n"/>
      <c r="C457" s="4" t="n"/>
      <c r="D457" s="4" t="n"/>
      <c r="E457" s="4" t="n"/>
      <c r="F457" s="4">
        <f>IF($E457="","",IFERROR(VLOOKUP($E457,AKUN!$A$2:$B$200,2,FALSE),"Kode tidak ditemukan"))</f>
        <v/>
      </c>
      <c r="G457" s="4" t="n"/>
      <c r="H457" s="9" t="n"/>
      <c r="I457" s="9" t="n"/>
      <c r="J457" s="18">
        <f>IF($B457="","",MONTH($B457))</f>
        <v/>
      </c>
      <c r="K457" s="18">
        <f>IF($B457="","",YEAR($B457))</f>
        <v/>
      </c>
    </row>
    <row r="458">
      <c r="A458" s="13">
        <f>IF($B458="","",ROW()-9)</f>
        <v/>
      </c>
      <c r="B458" s="14" t="n"/>
      <c r="C458" s="15" t="n"/>
      <c r="D458" s="15" t="n"/>
      <c r="E458" s="15" t="n"/>
      <c r="F458" s="15">
        <f>IF($E458="","",IFERROR(VLOOKUP($E458,AKUN!$A$2:$B$200,2,FALSE),"Kode tidak ditemukan"))</f>
        <v/>
      </c>
      <c r="G458" s="15" t="n"/>
      <c r="H458" s="17" t="n"/>
      <c r="I458" s="17" t="n"/>
      <c r="J458" s="13">
        <f>IF($B458="","",MONTH($B458))</f>
        <v/>
      </c>
      <c r="K458" s="13">
        <f>IF($B458="","",YEAR($B458))</f>
        <v/>
      </c>
    </row>
    <row r="459">
      <c r="A459" s="18">
        <f>IF($B459="","",ROW()-9)</f>
        <v/>
      </c>
      <c r="B459" s="19" t="n"/>
      <c r="C459" s="4" t="n"/>
      <c r="D459" s="4" t="n"/>
      <c r="E459" s="4" t="n"/>
      <c r="F459" s="4">
        <f>IF($E459="","",IFERROR(VLOOKUP($E459,AKUN!$A$2:$B$200,2,FALSE),"Kode tidak ditemukan"))</f>
        <v/>
      </c>
      <c r="G459" s="4" t="n"/>
      <c r="H459" s="9" t="n"/>
      <c r="I459" s="9" t="n"/>
      <c r="J459" s="18">
        <f>IF($B459="","",MONTH($B459))</f>
        <v/>
      </c>
      <c r="K459" s="18">
        <f>IF($B459="","",YEAR($B459))</f>
        <v/>
      </c>
    </row>
    <row r="460">
      <c r="A460" s="13">
        <f>IF($B460="","",ROW()-9)</f>
        <v/>
      </c>
      <c r="B460" s="14" t="n"/>
      <c r="C460" s="15" t="n"/>
      <c r="D460" s="15" t="n"/>
      <c r="E460" s="15" t="n"/>
      <c r="F460" s="15">
        <f>IF($E460="","",IFERROR(VLOOKUP($E460,AKUN!$A$2:$B$200,2,FALSE),"Kode tidak ditemukan"))</f>
        <v/>
      </c>
      <c r="G460" s="15" t="n"/>
      <c r="H460" s="17" t="n"/>
      <c r="I460" s="17" t="n"/>
      <c r="J460" s="13">
        <f>IF($B460="","",MONTH($B460))</f>
        <v/>
      </c>
      <c r="K460" s="13">
        <f>IF($B460="","",YEAR($B460))</f>
        <v/>
      </c>
    </row>
    <row r="461">
      <c r="A461" s="18">
        <f>IF($B461="","",ROW()-9)</f>
        <v/>
      </c>
      <c r="B461" s="19" t="n"/>
      <c r="C461" s="4" t="n"/>
      <c r="D461" s="4" t="n"/>
      <c r="E461" s="4" t="n"/>
      <c r="F461" s="4">
        <f>IF($E461="","",IFERROR(VLOOKUP($E461,AKUN!$A$2:$B$200,2,FALSE),"Kode tidak ditemukan"))</f>
        <v/>
      </c>
      <c r="G461" s="4" t="n"/>
      <c r="H461" s="9" t="n"/>
      <c r="I461" s="9" t="n"/>
      <c r="J461" s="18">
        <f>IF($B461="","",MONTH($B461))</f>
        <v/>
      </c>
      <c r="K461" s="18">
        <f>IF($B461="","",YEAR($B461))</f>
        <v/>
      </c>
    </row>
    <row r="462">
      <c r="A462" s="13">
        <f>IF($B462="","",ROW()-9)</f>
        <v/>
      </c>
      <c r="B462" s="14" t="n"/>
      <c r="C462" s="15" t="n"/>
      <c r="D462" s="15" t="n"/>
      <c r="E462" s="15" t="n"/>
      <c r="F462" s="15">
        <f>IF($E462="","",IFERROR(VLOOKUP($E462,AKUN!$A$2:$B$200,2,FALSE),"Kode tidak ditemukan"))</f>
        <v/>
      </c>
      <c r="G462" s="15" t="n"/>
      <c r="H462" s="17" t="n"/>
      <c r="I462" s="17" t="n"/>
      <c r="J462" s="13">
        <f>IF($B462="","",MONTH($B462))</f>
        <v/>
      </c>
      <c r="K462" s="13">
        <f>IF($B462="","",YEAR($B462))</f>
        <v/>
      </c>
    </row>
    <row r="463">
      <c r="A463" s="18">
        <f>IF($B463="","",ROW()-9)</f>
        <v/>
      </c>
      <c r="B463" s="19" t="n"/>
      <c r="C463" s="4" t="n"/>
      <c r="D463" s="4" t="n"/>
      <c r="E463" s="4" t="n"/>
      <c r="F463" s="4">
        <f>IF($E463="","",IFERROR(VLOOKUP($E463,AKUN!$A$2:$B$200,2,FALSE),"Kode tidak ditemukan"))</f>
        <v/>
      </c>
      <c r="G463" s="4" t="n"/>
      <c r="H463" s="9" t="n"/>
      <c r="I463" s="9" t="n"/>
      <c r="J463" s="18">
        <f>IF($B463="","",MONTH($B463))</f>
        <v/>
      </c>
      <c r="K463" s="18">
        <f>IF($B463="","",YEAR($B463))</f>
        <v/>
      </c>
    </row>
    <row r="464">
      <c r="A464" s="13">
        <f>IF($B464="","",ROW()-9)</f>
        <v/>
      </c>
      <c r="B464" s="14" t="n"/>
      <c r="C464" s="15" t="n"/>
      <c r="D464" s="15" t="n"/>
      <c r="E464" s="15" t="n"/>
      <c r="F464" s="15">
        <f>IF($E464="","",IFERROR(VLOOKUP($E464,AKUN!$A$2:$B$200,2,FALSE),"Kode tidak ditemukan"))</f>
        <v/>
      </c>
      <c r="G464" s="15" t="n"/>
      <c r="H464" s="17" t="n"/>
      <c r="I464" s="17" t="n"/>
      <c r="J464" s="13">
        <f>IF($B464="","",MONTH($B464))</f>
        <v/>
      </c>
      <c r="K464" s="13">
        <f>IF($B464="","",YEAR($B464))</f>
        <v/>
      </c>
    </row>
    <row r="465">
      <c r="A465" s="18">
        <f>IF($B465="","",ROW()-9)</f>
        <v/>
      </c>
      <c r="B465" s="19" t="n"/>
      <c r="C465" s="4" t="n"/>
      <c r="D465" s="4" t="n"/>
      <c r="E465" s="4" t="n"/>
      <c r="F465" s="4">
        <f>IF($E465="","",IFERROR(VLOOKUP($E465,AKUN!$A$2:$B$200,2,FALSE),"Kode tidak ditemukan"))</f>
        <v/>
      </c>
      <c r="G465" s="4" t="n"/>
      <c r="H465" s="9" t="n"/>
      <c r="I465" s="9" t="n"/>
      <c r="J465" s="18">
        <f>IF($B465="","",MONTH($B465))</f>
        <v/>
      </c>
      <c r="K465" s="18">
        <f>IF($B465="","",YEAR($B465))</f>
        <v/>
      </c>
    </row>
    <row r="466">
      <c r="A466" s="13">
        <f>IF($B466="","",ROW()-9)</f>
        <v/>
      </c>
      <c r="B466" s="14" t="n"/>
      <c r="C466" s="15" t="n"/>
      <c r="D466" s="15" t="n"/>
      <c r="E466" s="15" t="n"/>
      <c r="F466" s="15">
        <f>IF($E466="","",IFERROR(VLOOKUP($E466,AKUN!$A$2:$B$200,2,FALSE),"Kode tidak ditemukan"))</f>
        <v/>
      </c>
      <c r="G466" s="15" t="n"/>
      <c r="H466" s="17" t="n"/>
      <c r="I466" s="17" t="n"/>
      <c r="J466" s="13">
        <f>IF($B466="","",MONTH($B466))</f>
        <v/>
      </c>
      <c r="K466" s="13">
        <f>IF($B466="","",YEAR($B466))</f>
        <v/>
      </c>
    </row>
    <row r="467">
      <c r="A467" s="18">
        <f>IF($B467="","",ROW()-9)</f>
        <v/>
      </c>
      <c r="B467" s="19" t="n"/>
      <c r="C467" s="4" t="n"/>
      <c r="D467" s="4" t="n"/>
      <c r="E467" s="4" t="n"/>
      <c r="F467" s="4">
        <f>IF($E467="","",IFERROR(VLOOKUP($E467,AKUN!$A$2:$B$200,2,FALSE),"Kode tidak ditemukan"))</f>
        <v/>
      </c>
      <c r="G467" s="4" t="n"/>
      <c r="H467" s="9" t="n"/>
      <c r="I467" s="9" t="n"/>
      <c r="J467" s="18">
        <f>IF($B467="","",MONTH($B467))</f>
        <v/>
      </c>
      <c r="K467" s="18">
        <f>IF($B467="","",YEAR($B467))</f>
        <v/>
      </c>
    </row>
    <row r="468">
      <c r="A468" s="13">
        <f>IF($B468="","",ROW()-9)</f>
        <v/>
      </c>
      <c r="B468" s="14" t="n"/>
      <c r="C468" s="15" t="n"/>
      <c r="D468" s="15" t="n"/>
      <c r="E468" s="15" t="n"/>
      <c r="F468" s="15">
        <f>IF($E468="","",IFERROR(VLOOKUP($E468,AKUN!$A$2:$B$200,2,FALSE),"Kode tidak ditemukan"))</f>
        <v/>
      </c>
      <c r="G468" s="15" t="n"/>
      <c r="H468" s="17" t="n"/>
      <c r="I468" s="17" t="n"/>
      <c r="J468" s="13">
        <f>IF($B468="","",MONTH($B468))</f>
        <v/>
      </c>
      <c r="K468" s="13">
        <f>IF($B468="","",YEAR($B468))</f>
        <v/>
      </c>
    </row>
    <row r="469">
      <c r="A469" s="18">
        <f>IF($B469="","",ROW()-9)</f>
        <v/>
      </c>
      <c r="B469" s="19" t="n"/>
      <c r="C469" s="4" t="n"/>
      <c r="D469" s="4" t="n"/>
      <c r="E469" s="4" t="n"/>
      <c r="F469" s="4">
        <f>IF($E469="","",IFERROR(VLOOKUP($E469,AKUN!$A$2:$B$200,2,FALSE),"Kode tidak ditemukan"))</f>
        <v/>
      </c>
      <c r="G469" s="4" t="n"/>
      <c r="H469" s="9" t="n"/>
      <c r="I469" s="9" t="n"/>
      <c r="J469" s="18">
        <f>IF($B469="","",MONTH($B469))</f>
        <v/>
      </c>
      <c r="K469" s="18">
        <f>IF($B469="","",YEAR($B469))</f>
        <v/>
      </c>
    </row>
    <row r="470">
      <c r="A470" s="13">
        <f>IF($B470="","",ROW()-9)</f>
        <v/>
      </c>
      <c r="B470" s="14" t="n"/>
      <c r="C470" s="15" t="n"/>
      <c r="D470" s="15" t="n"/>
      <c r="E470" s="15" t="n"/>
      <c r="F470" s="15">
        <f>IF($E470="","",IFERROR(VLOOKUP($E470,AKUN!$A$2:$B$200,2,FALSE),"Kode tidak ditemukan"))</f>
        <v/>
      </c>
      <c r="G470" s="15" t="n"/>
      <c r="H470" s="17" t="n"/>
      <c r="I470" s="17" t="n"/>
      <c r="J470" s="13">
        <f>IF($B470="","",MONTH($B470))</f>
        <v/>
      </c>
      <c r="K470" s="13">
        <f>IF($B470="","",YEAR($B470))</f>
        <v/>
      </c>
    </row>
    <row r="471">
      <c r="A471" s="18">
        <f>IF($B471="","",ROW()-9)</f>
        <v/>
      </c>
      <c r="B471" s="19" t="n"/>
      <c r="C471" s="4" t="n"/>
      <c r="D471" s="4" t="n"/>
      <c r="E471" s="4" t="n"/>
      <c r="F471" s="4">
        <f>IF($E471="","",IFERROR(VLOOKUP($E471,AKUN!$A$2:$B$200,2,FALSE),"Kode tidak ditemukan"))</f>
        <v/>
      </c>
      <c r="G471" s="4" t="n"/>
      <c r="H471" s="9" t="n"/>
      <c r="I471" s="9" t="n"/>
      <c r="J471" s="18">
        <f>IF($B471="","",MONTH($B471))</f>
        <v/>
      </c>
      <c r="K471" s="18">
        <f>IF($B471="","",YEAR($B471))</f>
        <v/>
      </c>
    </row>
    <row r="472">
      <c r="A472" s="13">
        <f>IF($B472="","",ROW()-9)</f>
        <v/>
      </c>
      <c r="B472" s="14" t="n"/>
      <c r="C472" s="15" t="n"/>
      <c r="D472" s="15" t="n"/>
      <c r="E472" s="15" t="n"/>
      <c r="F472" s="15">
        <f>IF($E472="","",IFERROR(VLOOKUP($E472,AKUN!$A$2:$B$200,2,FALSE),"Kode tidak ditemukan"))</f>
        <v/>
      </c>
      <c r="G472" s="15" t="n"/>
      <c r="H472" s="17" t="n"/>
      <c r="I472" s="17" t="n"/>
      <c r="J472" s="13">
        <f>IF($B472="","",MONTH($B472))</f>
        <v/>
      </c>
      <c r="K472" s="13">
        <f>IF($B472="","",YEAR($B472))</f>
        <v/>
      </c>
    </row>
    <row r="473">
      <c r="A473" s="18">
        <f>IF($B473="","",ROW()-9)</f>
        <v/>
      </c>
      <c r="B473" s="19" t="n"/>
      <c r="C473" s="4" t="n"/>
      <c r="D473" s="4" t="n"/>
      <c r="E473" s="4" t="n"/>
      <c r="F473" s="4">
        <f>IF($E473="","",IFERROR(VLOOKUP($E473,AKUN!$A$2:$B$200,2,FALSE),"Kode tidak ditemukan"))</f>
        <v/>
      </c>
      <c r="G473" s="4" t="n"/>
      <c r="H473" s="9" t="n"/>
      <c r="I473" s="9" t="n"/>
      <c r="J473" s="18">
        <f>IF($B473="","",MONTH($B473))</f>
        <v/>
      </c>
      <c r="K473" s="18">
        <f>IF($B473="","",YEAR($B473))</f>
        <v/>
      </c>
    </row>
    <row r="474">
      <c r="A474" s="13">
        <f>IF($B474="","",ROW()-9)</f>
        <v/>
      </c>
      <c r="B474" s="14" t="n"/>
      <c r="C474" s="15" t="n"/>
      <c r="D474" s="15" t="n"/>
      <c r="E474" s="15" t="n"/>
      <c r="F474" s="15">
        <f>IF($E474="","",IFERROR(VLOOKUP($E474,AKUN!$A$2:$B$200,2,FALSE),"Kode tidak ditemukan"))</f>
        <v/>
      </c>
      <c r="G474" s="15" t="n"/>
      <c r="H474" s="17" t="n"/>
      <c r="I474" s="17" t="n"/>
      <c r="J474" s="13">
        <f>IF($B474="","",MONTH($B474))</f>
        <v/>
      </c>
      <c r="K474" s="13">
        <f>IF($B474="","",YEAR($B474))</f>
        <v/>
      </c>
    </row>
    <row r="475">
      <c r="A475" s="18">
        <f>IF($B475="","",ROW()-9)</f>
        <v/>
      </c>
      <c r="B475" s="19" t="n"/>
      <c r="C475" s="4" t="n"/>
      <c r="D475" s="4" t="n"/>
      <c r="E475" s="4" t="n"/>
      <c r="F475" s="4">
        <f>IF($E475="","",IFERROR(VLOOKUP($E475,AKUN!$A$2:$B$200,2,FALSE),"Kode tidak ditemukan"))</f>
        <v/>
      </c>
      <c r="G475" s="4" t="n"/>
      <c r="H475" s="9" t="n"/>
      <c r="I475" s="9" t="n"/>
      <c r="J475" s="18">
        <f>IF($B475="","",MONTH($B475))</f>
        <v/>
      </c>
      <c r="K475" s="18">
        <f>IF($B475="","",YEAR($B475))</f>
        <v/>
      </c>
    </row>
    <row r="476">
      <c r="A476" s="13">
        <f>IF($B476="","",ROW()-9)</f>
        <v/>
      </c>
      <c r="B476" s="14" t="n"/>
      <c r="C476" s="15" t="n"/>
      <c r="D476" s="15" t="n"/>
      <c r="E476" s="15" t="n"/>
      <c r="F476" s="15">
        <f>IF($E476="","",IFERROR(VLOOKUP($E476,AKUN!$A$2:$B$200,2,FALSE),"Kode tidak ditemukan"))</f>
        <v/>
      </c>
      <c r="G476" s="15" t="n"/>
      <c r="H476" s="17" t="n"/>
      <c r="I476" s="17" t="n"/>
      <c r="J476" s="13">
        <f>IF($B476="","",MONTH($B476))</f>
        <v/>
      </c>
      <c r="K476" s="13">
        <f>IF($B476="","",YEAR($B476))</f>
        <v/>
      </c>
    </row>
    <row r="477">
      <c r="A477" s="18">
        <f>IF($B477="","",ROW()-9)</f>
        <v/>
      </c>
      <c r="B477" s="19" t="n"/>
      <c r="C477" s="4" t="n"/>
      <c r="D477" s="4" t="n"/>
      <c r="E477" s="4" t="n"/>
      <c r="F477" s="4">
        <f>IF($E477="","",IFERROR(VLOOKUP($E477,AKUN!$A$2:$B$200,2,FALSE),"Kode tidak ditemukan"))</f>
        <v/>
      </c>
      <c r="G477" s="4" t="n"/>
      <c r="H477" s="9" t="n"/>
      <c r="I477" s="9" t="n"/>
      <c r="J477" s="18">
        <f>IF($B477="","",MONTH($B477))</f>
        <v/>
      </c>
      <c r="K477" s="18">
        <f>IF($B477="","",YEAR($B477))</f>
        <v/>
      </c>
    </row>
    <row r="478">
      <c r="A478" s="13">
        <f>IF($B478="","",ROW()-9)</f>
        <v/>
      </c>
      <c r="B478" s="14" t="n"/>
      <c r="C478" s="15" t="n"/>
      <c r="D478" s="15" t="n"/>
      <c r="E478" s="15" t="n"/>
      <c r="F478" s="15">
        <f>IF($E478="","",IFERROR(VLOOKUP($E478,AKUN!$A$2:$B$200,2,FALSE),"Kode tidak ditemukan"))</f>
        <v/>
      </c>
      <c r="G478" s="15" t="n"/>
      <c r="H478" s="17" t="n"/>
      <c r="I478" s="17" t="n"/>
      <c r="J478" s="13">
        <f>IF($B478="","",MONTH($B478))</f>
        <v/>
      </c>
      <c r="K478" s="13">
        <f>IF($B478="","",YEAR($B478))</f>
        <v/>
      </c>
    </row>
    <row r="479">
      <c r="A479" s="18">
        <f>IF($B479="","",ROW()-9)</f>
        <v/>
      </c>
      <c r="B479" s="19" t="n"/>
      <c r="C479" s="4" t="n"/>
      <c r="D479" s="4" t="n"/>
      <c r="E479" s="4" t="n"/>
      <c r="F479" s="4">
        <f>IF($E479="","",IFERROR(VLOOKUP($E479,AKUN!$A$2:$B$200,2,FALSE),"Kode tidak ditemukan"))</f>
        <v/>
      </c>
      <c r="G479" s="4" t="n"/>
      <c r="H479" s="9" t="n"/>
      <c r="I479" s="9" t="n"/>
      <c r="J479" s="18">
        <f>IF($B479="","",MONTH($B479))</f>
        <v/>
      </c>
      <c r="K479" s="18">
        <f>IF($B479="","",YEAR($B479))</f>
        <v/>
      </c>
    </row>
    <row r="480">
      <c r="A480" s="13">
        <f>IF($B480="","",ROW()-9)</f>
        <v/>
      </c>
      <c r="B480" s="14" t="n"/>
      <c r="C480" s="15" t="n"/>
      <c r="D480" s="15" t="n"/>
      <c r="E480" s="15" t="n"/>
      <c r="F480" s="15">
        <f>IF($E480="","",IFERROR(VLOOKUP($E480,AKUN!$A$2:$B$200,2,FALSE),"Kode tidak ditemukan"))</f>
        <v/>
      </c>
      <c r="G480" s="15" t="n"/>
      <c r="H480" s="17" t="n"/>
      <c r="I480" s="17" t="n"/>
      <c r="J480" s="13">
        <f>IF($B480="","",MONTH($B480))</f>
        <v/>
      </c>
      <c r="K480" s="13">
        <f>IF($B480="","",YEAR($B480))</f>
        <v/>
      </c>
    </row>
    <row r="481">
      <c r="A481" s="18">
        <f>IF($B481="","",ROW()-9)</f>
        <v/>
      </c>
      <c r="B481" s="19" t="n"/>
      <c r="C481" s="4" t="n"/>
      <c r="D481" s="4" t="n"/>
      <c r="E481" s="4" t="n"/>
      <c r="F481" s="4">
        <f>IF($E481="","",IFERROR(VLOOKUP($E481,AKUN!$A$2:$B$200,2,FALSE),"Kode tidak ditemukan"))</f>
        <v/>
      </c>
      <c r="G481" s="4" t="n"/>
      <c r="H481" s="9" t="n"/>
      <c r="I481" s="9" t="n"/>
      <c r="J481" s="18">
        <f>IF($B481="","",MONTH($B481))</f>
        <v/>
      </c>
      <c r="K481" s="18">
        <f>IF($B481="","",YEAR($B481))</f>
        <v/>
      </c>
    </row>
    <row r="482">
      <c r="A482" s="13">
        <f>IF($B482="","",ROW()-9)</f>
        <v/>
      </c>
      <c r="B482" s="14" t="n"/>
      <c r="C482" s="15" t="n"/>
      <c r="D482" s="15" t="n"/>
      <c r="E482" s="15" t="n"/>
      <c r="F482" s="15">
        <f>IF($E482="","",IFERROR(VLOOKUP($E482,AKUN!$A$2:$B$200,2,FALSE),"Kode tidak ditemukan"))</f>
        <v/>
      </c>
      <c r="G482" s="15" t="n"/>
      <c r="H482" s="17" t="n"/>
      <c r="I482" s="17" t="n"/>
      <c r="J482" s="13">
        <f>IF($B482="","",MONTH($B482))</f>
        <v/>
      </c>
      <c r="K482" s="13">
        <f>IF($B482="","",YEAR($B482))</f>
        <v/>
      </c>
    </row>
    <row r="483">
      <c r="A483" s="18">
        <f>IF($B483="","",ROW()-9)</f>
        <v/>
      </c>
      <c r="B483" s="19" t="n"/>
      <c r="C483" s="4" t="n"/>
      <c r="D483" s="4" t="n"/>
      <c r="E483" s="4" t="n"/>
      <c r="F483" s="4">
        <f>IF($E483="","",IFERROR(VLOOKUP($E483,AKUN!$A$2:$B$200,2,FALSE),"Kode tidak ditemukan"))</f>
        <v/>
      </c>
      <c r="G483" s="4" t="n"/>
      <c r="H483" s="9" t="n"/>
      <c r="I483" s="9" t="n"/>
      <c r="J483" s="18">
        <f>IF($B483="","",MONTH($B483))</f>
        <v/>
      </c>
      <c r="K483" s="18">
        <f>IF($B483="","",YEAR($B483))</f>
        <v/>
      </c>
    </row>
    <row r="484">
      <c r="A484" s="13">
        <f>IF($B484="","",ROW()-9)</f>
        <v/>
      </c>
      <c r="B484" s="14" t="n"/>
      <c r="C484" s="15" t="n"/>
      <c r="D484" s="15" t="n"/>
      <c r="E484" s="15" t="n"/>
      <c r="F484" s="15">
        <f>IF($E484="","",IFERROR(VLOOKUP($E484,AKUN!$A$2:$B$200,2,FALSE),"Kode tidak ditemukan"))</f>
        <v/>
      </c>
      <c r="G484" s="15" t="n"/>
      <c r="H484" s="17" t="n"/>
      <c r="I484" s="17" t="n"/>
      <c r="J484" s="13">
        <f>IF($B484="","",MONTH($B484))</f>
        <v/>
      </c>
      <c r="K484" s="13">
        <f>IF($B484="","",YEAR($B484))</f>
        <v/>
      </c>
    </row>
    <row r="485">
      <c r="A485" s="18">
        <f>IF($B485="","",ROW()-9)</f>
        <v/>
      </c>
      <c r="B485" s="19" t="n"/>
      <c r="C485" s="4" t="n"/>
      <c r="D485" s="4" t="n"/>
      <c r="E485" s="4" t="n"/>
      <c r="F485" s="4">
        <f>IF($E485="","",IFERROR(VLOOKUP($E485,AKUN!$A$2:$B$200,2,FALSE),"Kode tidak ditemukan"))</f>
        <v/>
      </c>
      <c r="G485" s="4" t="n"/>
      <c r="H485" s="9" t="n"/>
      <c r="I485" s="9" t="n"/>
      <c r="J485" s="18">
        <f>IF($B485="","",MONTH($B485))</f>
        <v/>
      </c>
      <c r="K485" s="18">
        <f>IF($B485="","",YEAR($B485))</f>
        <v/>
      </c>
    </row>
    <row r="486">
      <c r="A486" s="13">
        <f>IF($B486="","",ROW()-9)</f>
        <v/>
      </c>
      <c r="B486" s="14" t="n"/>
      <c r="C486" s="15" t="n"/>
      <c r="D486" s="15" t="n"/>
      <c r="E486" s="15" t="n"/>
      <c r="F486" s="15">
        <f>IF($E486="","",IFERROR(VLOOKUP($E486,AKUN!$A$2:$B$200,2,FALSE),"Kode tidak ditemukan"))</f>
        <v/>
      </c>
      <c r="G486" s="15" t="n"/>
      <c r="H486" s="17" t="n"/>
      <c r="I486" s="17" t="n"/>
      <c r="J486" s="13">
        <f>IF($B486="","",MONTH($B486))</f>
        <v/>
      </c>
      <c r="K486" s="13">
        <f>IF($B486="","",YEAR($B486))</f>
        <v/>
      </c>
    </row>
    <row r="487">
      <c r="A487" s="18">
        <f>IF($B487="","",ROW()-9)</f>
        <v/>
      </c>
      <c r="B487" s="19" t="n"/>
      <c r="C487" s="4" t="n"/>
      <c r="D487" s="4" t="n"/>
      <c r="E487" s="4" t="n"/>
      <c r="F487" s="4">
        <f>IF($E487="","",IFERROR(VLOOKUP($E487,AKUN!$A$2:$B$200,2,FALSE),"Kode tidak ditemukan"))</f>
        <v/>
      </c>
      <c r="G487" s="4" t="n"/>
      <c r="H487" s="9" t="n"/>
      <c r="I487" s="9" t="n"/>
      <c r="J487" s="18">
        <f>IF($B487="","",MONTH($B487))</f>
        <v/>
      </c>
      <c r="K487" s="18">
        <f>IF($B487="","",YEAR($B487))</f>
        <v/>
      </c>
    </row>
    <row r="488">
      <c r="A488" s="13">
        <f>IF($B488="","",ROW()-9)</f>
        <v/>
      </c>
      <c r="B488" s="14" t="n"/>
      <c r="C488" s="15" t="n"/>
      <c r="D488" s="15" t="n"/>
      <c r="E488" s="15" t="n"/>
      <c r="F488" s="15">
        <f>IF($E488="","",IFERROR(VLOOKUP($E488,AKUN!$A$2:$B$200,2,FALSE),"Kode tidak ditemukan"))</f>
        <v/>
      </c>
      <c r="G488" s="15" t="n"/>
      <c r="H488" s="17" t="n"/>
      <c r="I488" s="17" t="n"/>
      <c r="J488" s="13">
        <f>IF($B488="","",MONTH($B488))</f>
        <v/>
      </c>
      <c r="K488" s="13">
        <f>IF($B488="","",YEAR($B488))</f>
        <v/>
      </c>
    </row>
    <row r="489">
      <c r="A489" s="18">
        <f>IF($B489="","",ROW()-9)</f>
        <v/>
      </c>
      <c r="B489" s="19" t="n"/>
      <c r="C489" s="4" t="n"/>
      <c r="D489" s="4" t="n"/>
      <c r="E489" s="4" t="n"/>
      <c r="F489" s="4">
        <f>IF($E489="","",IFERROR(VLOOKUP($E489,AKUN!$A$2:$B$200,2,FALSE),"Kode tidak ditemukan"))</f>
        <v/>
      </c>
      <c r="G489" s="4" t="n"/>
      <c r="H489" s="9" t="n"/>
      <c r="I489" s="9" t="n"/>
      <c r="J489" s="18">
        <f>IF($B489="","",MONTH($B489))</f>
        <v/>
      </c>
      <c r="K489" s="18">
        <f>IF($B489="","",YEAR($B489))</f>
        <v/>
      </c>
    </row>
    <row r="490">
      <c r="A490" s="13">
        <f>IF($B490="","",ROW()-9)</f>
        <v/>
      </c>
      <c r="B490" s="14" t="n"/>
      <c r="C490" s="15" t="n"/>
      <c r="D490" s="15" t="n"/>
      <c r="E490" s="15" t="n"/>
      <c r="F490" s="15">
        <f>IF($E490="","",IFERROR(VLOOKUP($E490,AKUN!$A$2:$B$200,2,FALSE),"Kode tidak ditemukan"))</f>
        <v/>
      </c>
      <c r="G490" s="15" t="n"/>
      <c r="H490" s="17" t="n"/>
      <c r="I490" s="17" t="n"/>
      <c r="J490" s="13">
        <f>IF($B490="","",MONTH($B490))</f>
        <v/>
      </c>
      <c r="K490" s="13">
        <f>IF($B490="","",YEAR($B490))</f>
        <v/>
      </c>
    </row>
    <row r="491">
      <c r="A491" s="18">
        <f>IF($B491="","",ROW()-9)</f>
        <v/>
      </c>
      <c r="B491" s="19" t="n"/>
      <c r="C491" s="4" t="n"/>
      <c r="D491" s="4" t="n"/>
      <c r="E491" s="4" t="n"/>
      <c r="F491" s="4">
        <f>IF($E491="","",IFERROR(VLOOKUP($E491,AKUN!$A$2:$B$200,2,FALSE),"Kode tidak ditemukan"))</f>
        <v/>
      </c>
      <c r="G491" s="4" t="n"/>
      <c r="H491" s="9" t="n"/>
      <c r="I491" s="9" t="n"/>
      <c r="J491" s="18">
        <f>IF($B491="","",MONTH($B491))</f>
        <v/>
      </c>
      <c r="K491" s="18">
        <f>IF($B491="","",YEAR($B491))</f>
        <v/>
      </c>
    </row>
    <row r="492">
      <c r="A492" s="13">
        <f>IF($B492="","",ROW()-9)</f>
        <v/>
      </c>
      <c r="B492" s="14" t="n"/>
      <c r="C492" s="15" t="n"/>
      <c r="D492" s="15" t="n"/>
      <c r="E492" s="15" t="n"/>
      <c r="F492" s="15">
        <f>IF($E492="","",IFERROR(VLOOKUP($E492,AKUN!$A$2:$B$200,2,FALSE),"Kode tidak ditemukan"))</f>
        <v/>
      </c>
      <c r="G492" s="15" t="n"/>
      <c r="H492" s="17" t="n"/>
      <c r="I492" s="17" t="n"/>
      <c r="J492" s="13">
        <f>IF($B492="","",MONTH($B492))</f>
        <v/>
      </c>
      <c r="K492" s="13">
        <f>IF($B492="","",YEAR($B492))</f>
        <v/>
      </c>
    </row>
    <row r="493">
      <c r="A493" s="18">
        <f>IF($B493="","",ROW()-9)</f>
        <v/>
      </c>
      <c r="B493" s="19" t="n"/>
      <c r="C493" s="4" t="n"/>
      <c r="D493" s="4" t="n"/>
      <c r="E493" s="4" t="n"/>
      <c r="F493" s="4">
        <f>IF($E493="","",IFERROR(VLOOKUP($E493,AKUN!$A$2:$B$200,2,FALSE),"Kode tidak ditemukan"))</f>
        <v/>
      </c>
      <c r="G493" s="4" t="n"/>
      <c r="H493" s="9" t="n"/>
      <c r="I493" s="9" t="n"/>
      <c r="J493" s="18">
        <f>IF($B493="","",MONTH($B493))</f>
        <v/>
      </c>
      <c r="K493" s="18">
        <f>IF($B493="","",YEAR($B493))</f>
        <v/>
      </c>
    </row>
    <row r="494">
      <c r="A494" s="13">
        <f>IF($B494="","",ROW()-9)</f>
        <v/>
      </c>
      <c r="B494" s="14" t="n"/>
      <c r="C494" s="15" t="n"/>
      <c r="D494" s="15" t="n"/>
      <c r="E494" s="15" t="n"/>
      <c r="F494" s="15">
        <f>IF($E494="","",IFERROR(VLOOKUP($E494,AKUN!$A$2:$B$200,2,FALSE),"Kode tidak ditemukan"))</f>
        <v/>
      </c>
      <c r="G494" s="15" t="n"/>
      <c r="H494" s="17" t="n"/>
      <c r="I494" s="17" t="n"/>
      <c r="J494" s="13">
        <f>IF($B494="","",MONTH($B494))</f>
        <v/>
      </c>
      <c r="K494" s="13">
        <f>IF($B494="","",YEAR($B494))</f>
        <v/>
      </c>
    </row>
    <row r="495">
      <c r="A495" s="18">
        <f>IF($B495="","",ROW()-9)</f>
        <v/>
      </c>
      <c r="B495" s="19" t="n"/>
      <c r="C495" s="4" t="n"/>
      <c r="D495" s="4" t="n"/>
      <c r="E495" s="4" t="n"/>
      <c r="F495" s="4">
        <f>IF($E495="","",IFERROR(VLOOKUP($E495,AKUN!$A$2:$B$200,2,FALSE),"Kode tidak ditemukan"))</f>
        <v/>
      </c>
      <c r="G495" s="4" t="n"/>
      <c r="H495" s="9" t="n"/>
      <c r="I495" s="9" t="n"/>
      <c r="J495" s="18">
        <f>IF($B495="","",MONTH($B495))</f>
        <v/>
      </c>
      <c r="K495" s="18">
        <f>IF($B495="","",YEAR($B495))</f>
        <v/>
      </c>
    </row>
    <row r="496">
      <c r="A496" s="13">
        <f>IF($B496="","",ROW()-9)</f>
        <v/>
      </c>
      <c r="B496" s="14" t="n"/>
      <c r="C496" s="15" t="n"/>
      <c r="D496" s="15" t="n"/>
      <c r="E496" s="15" t="n"/>
      <c r="F496" s="15">
        <f>IF($E496="","",IFERROR(VLOOKUP($E496,AKUN!$A$2:$B$200,2,FALSE),"Kode tidak ditemukan"))</f>
        <v/>
      </c>
      <c r="G496" s="15" t="n"/>
      <c r="H496" s="17" t="n"/>
      <c r="I496" s="17" t="n"/>
      <c r="J496" s="13">
        <f>IF($B496="","",MONTH($B496))</f>
        <v/>
      </c>
      <c r="K496" s="13">
        <f>IF($B496="","",YEAR($B496))</f>
        <v/>
      </c>
    </row>
    <row r="497">
      <c r="A497" s="18">
        <f>IF($B497="","",ROW()-9)</f>
        <v/>
      </c>
      <c r="B497" s="19" t="n"/>
      <c r="C497" s="4" t="n"/>
      <c r="D497" s="4" t="n"/>
      <c r="E497" s="4" t="n"/>
      <c r="F497" s="4">
        <f>IF($E497="","",IFERROR(VLOOKUP($E497,AKUN!$A$2:$B$200,2,FALSE),"Kode tidak ditemukan"))</f>
        <v/>
      </c>
      <c r="G497" s="4" t="n"/>
      <c r="H497" s="9" t="n"/>
      <c r="I497" s="9" t="n"/>
      <c r="J497" s="18">
        <f>IF($B497="","",MONTH($B497))</f>
        <v/>
      </c>
      <c r="K497" s="18">
        <f>IF($B497="","",YEAR($B497))</f>
        <v/>
      </c>
    </row>
    <row r="498">
      <c r="A498" s="13">
        <f>IF($B498="","",ROW()-9)</f>
        <v/>
      </c>
      <c r="B498" s="14" t="n"/>
      <c r="C498" s="15" t="n"/>
      <c r="D498" s="15" t="n"/>
      <c r="E498" s="15" t="n"/>
      <c r="F498" s="15">
        <f>IF($E498="","",IFERROR(VLOOKUP($E498,AKUN!$A$2:$B$200,2,FALSE),"Kode tidak ditemukan"))</f>
        <v/>
      </c>
      <c r="G498" s="15" t="n"/>
      <c r="H498" s="17" t="n"/>
      <c r="I498" s="17" t="n"/>
      <c r="J498" s="13">
        <f>IF($B498="","",MONTH($B498))</f>
        <v/>
      </c>
      <c r="K498" s="13">
        <f>IF($B498="","",YEAR($B498))</f>
        <v/>
      </c>
    </row>
    <row r="499">
      <c r="A499" s="18">
        <f>IF($B499="","",ROW()-9)</f>
        <v/>
      </c>
      <c r="B499" s="19" t="n"/>
      <c r="C499" s="4" t="n"/>
      <c r="D499" s="4" t="n"/>
      <c r="E499" s="4" t="n"/>
      <c r="F499" s="4">
        <f>IF($E499="","",IFERROR(VLOOKUP($E499,AKUN!$A$2:$B$200,2,FALSE),"Kode tidak ditemukan"))</f>
        <v/>
      </c>
      <c r="G499" s="4" t="n"/>
      <c r="H499" s="9" t="n"/>
      <c r="I499" s="9" t="n"/>
      <c r="J499" s="18">
        <f>IF($B499="","",MONTH($B499))</f>
        <v/>
      </c>
      <c r="K499" s="18">
        <f>IF($B499="","",YEAR($B499))</f>
        <v/>
      </c>
    </row>
    <row r="500">
      <c r="A500" s="13">
        <f>IF($B500="","",ROW()-9)</f>
        <v/>
      </c>
      <c r="B500" s="14" t="n"/>
      <c r="C500" s="15" t="n"/>
      <c r="D500" s="15" t="n"/>
      <c r="E500" s="15" t="n"/>
      <c r="F500" s="15">
        <f>IF($E500="","",IFERROR(VLOOKUP($E500,AKUN!$A$2:$B$200,2,FALSE),"Kode tidak ditemukan"))</f>
        <v/>
      </c>
      <c r="G500" s="15" t="n"/>
      <c r="H500" s="17" t="n"/>
      <c r="I500" s="17" t="n"/>
      <c r="J500" s="13">
        <f>IF($B500="","",MONTH($B500))</f>
        <v/>
      </c>
      <c r="K500" s="13">
        <f>IF($B500="","",YEAR($B500))</f>
        <v/>
      </c>
    </row>
    <row r="501">
      <c r="A501" s="18">
        <f>IF($B501="","",ROW()-9)</f>
        <v/>
      </c>
      <c r="B501" s="19" t="n"/>
      <c r="C501" s="4" t="n"/>
      <c r="D501" s="4" t="n"/>
      <c r="E501" s="4" t="n"/>
      <c r="F501" s="4">
        <f>IF($E501="","",IFERROR(VLOOKUP($E501,AKUN!$A$2:$B$200,2,FALSE),"Kode tidak ditemukan"))</f>
        <v/>
      </c>
      <c r="G501" s="4" t="n"/>
      <c r="H501" s="9" t="n"/>
      <c r="I501" s="9" t="n"/>
      <c r="J501" s="18">
        <f>IF($B501="","",MONTH($B501))</f>
        <v/>
      </c>
      <c r="K501" s="18">
        <f>IF($B501="","",YEAR($B501))</f>
        <v/>
      </c>
    </row>
    <row r="502">
      <c r="A502" s="13">
        <f>IF($B502="","",ROW()-9)</f>
        <v/>
      </c>
      <c r="B502" s="14" t="n"/>
      <c r="C502" s="15" t="n"/>
      <c r="D502" s="15" t="n"/>
      <c r="E502" s="15" t="n"/>
      <c r="F502" s="15">
        <f>IF($E502="","",IFERROR(VLOOKUP($E502,AKUN!$A$2:$B$200,2,FALSE),"Kode tidak ditemukan"))</f>
        <v/>
      </c>
      <c r="G502" s="15" t="n"/>
      <c r="H502" s="17" t="n"/>
      <c r="I502" s="17" t="n"/>
      <c r="J502" s="13">
        <f>IF($B502="","",MONTH($B502))</f>
        <v/>
      </c>
      <c r="K502" s="13">
        <f>IF($B502="","",YEAR($B502))</f>
        <v/>
      </c>
    </row>
    <row r="503">
      <c r="A503" s="18">
        <f>IF($B503="","",ROW()-9)</f>
        <v/>
      </c>
      <c r="B503" s="19" t="n"/>
      <c r="C503" s="4" t="n"/>
      <c r="D503" s="4" t="n"/>
      <c r="E503" s="4" t="n"/>
      <c r="F503" s="4">
        <f>IF($E503="","",IFERROR(VLOOKUP($E503,AKUN!$A$2:$B$200,2,FALSE),"Kode tidak ditemukan"))</f>
        <v/>
      </c>
      <c r="G503" s="4" t="n"/>
      <c r="H503" s="9" t="n"/>
      <c r="I503" s="9" t="n"/>
      <c r="J503" s="18">
        <f>IF($B503="","",MONTH($B503))</f>
        <v/>
      </c>
      <c r="K503" s="18">
        <f>IF($B503="","",YEAR($B503))</f>
        <v/>
      </c>
    </row>
    <row r="504">
      <c r="A504" s="13">
        <f>IF($B504="","",ROW()-9)</f>
        <v/>
      </c>
      <c r="B504" s="14" t="n"/>
      <c r="C504" s="15" t="n"/>
      <c r="D504" s="15" t="n"/>
      <c r="E504" s="15" t="n"/>
      <c r="F504" s="15">
        <f>IF($E504="","",IFERROR(VLOOKUP($E504,AKUN!$A$2:$B$200,2,FALSE),"Kode tidak ditemukan"))</f>
        <v/>
      </c>
      <c r="G504" s="15" t="n"/>
      <c r="H504" s="17" t="n"/>
      <c r="I504" s="17" t="n"/>
      <c r="J504" s="13">
        <f>IF($B504="","",MONTH($B504))</f>
        <v/>
      </c>
      <c r="K504" s="13">
        <f>IF($B504="","",YEAR($B504))</f>
        <v/>
      </c>
    </row>
    <row r="505">
      <c r="A505" s="18">
        <f>IF($B505="","",ROW()-9)</f>
        <v/>
      </c>
      <c r="B505" s="19" t="n"/>
      <c r="C505" s="4" t="n"/>
      <c r="D505" s="4" t="n"/>
      <c r="E505" s="4" t="n"/>
      <c r="F505" s="4">
        <f>IF($E505="","",IFERROR(VLOOKUP($E505,AKUN!$A$2:$B$200,2,FALSE),"Kode tidak ditemukan"))</f>
        <v/>
      </c>
      <c r="G505" s="4" t="n"/>
      <c r="H505" s="9" t="n"/>
      <c r="I505" s="9" t="n"/>
      <c r="J505" s="18">
        <f>IF($B505="","",MONTH($B505))</f>
        <v/>
      </c>
      <c r="K505" s="18">
        <f>IF($B505="","",YEAR($B505))</f>
        <v/>
      </c>
    </row>
    <row r="506">
      <c r="A506" s="13">
        <f>IF($B506="","",ROW()-9)</f>
        <v/>
      </c>
      <c r="B506" s="14" t="n"/>
      <c r="C506" s="15" t="n"/>
      <c r="D506" s="15" t="n"/>
      <c r="E506" s="15" t="n"/>
      <c r="F506" s="15">
        <f>IF($E506="","",IFERROR(VLOOKUP($E506,AKUN!$A$2:$B$200,2,FALSE),"Kode tidak ditemukan"))</f>
        <v/>
      </c>
      <c r="G506" s="15" t="n"/>
      <c r="H506" s="17" t="n"/>
      <c r="I506" s="17" t="n"/>
      <c r="J506" s="13">
        <f>IF($B506="","",MONTH($B506))</f>
        <v/>
      </c>
      <c r="K506" s="13">
        <f>IF($B506="","",YEAR($B506))</f>
        <v/>
      </c>
    </row>
    <row r="507">
      <c r="A507" s="18">
        <f>IF($B507="","",ROW()-9)</f>
        <v/>
      </c>
      <c r="B507" s="19" t="n"/>
      <c r="C507" s="4" t="n"/>
      <c r="D507" s="4" t="n"/>
      <c r="E507" s="4" t="n"/>
      <c r="F507" s="4">
        <f>IF($E507="","",IFERROR(VLOOKUP($E507,AKUN!$A$2:$B$200,2,FALSE),"Kode tidak ditemukan"))</f>
        <v/>
      </c>
      <c r="G507" s="4" t="n"/>
      <c r="H507" s="9" t="n"/>
      <c r="I507" s="9" t="n"/>
      <c r="J507" s="18">
        <f>IF($B507="","",MONTH($B507))</f>
        <v/>
      </c>
      <c r="K507" s="18">
        <f>IF($B507="","",YEAR($B507))</f>
        <v/>
      </c>
    </row>
    <row r="508">
      <c r="A508" s="13">
        <f>IF($B508="","",ROW()-9)</f>
        <v/>
      </c>
      <c r="B508" s="14" t="n"/>
      <c r="C508" s="15" t="n"/>
      <c r="D508" s="15" t="n"/>
      <c r="E508" s="15" t="n"/>
      <c r="F508" s="15">
        <f>IF($E508="","",IFERROR(VLOOKUP($E508,AKUN!$A$2:$B$200,2,FALSE),"Kode tidak ditemukan"))</f>
        <v/>
      </c>
      <c r="G508" s="15" t="n"/>
      <c r="H508" s="17" t="n"/>
      <c r="I508" s="17" t="n"/>
      <c r="J508" s="13">
        <f>IF($B508="","",MONTH($B508))</f>
        <v/>
      </c>
      <c r="K508" s="13">
        <f>IF($B508="","",YEAR($B508))</f>
        <v/>
      </c>
    </row>
    <row r="509">
      <c r="A509" s="18">
        <f>IF($B509="","",ROW()-9)</f>
        <v/>
      </c>
      <c r="B509" s="19" t="n"/>
      <c r="C509" s="4" t="n"/>
      <c r="D509" s="4" t="n"/>
      <c r="E509" s="4" t="n"/>
      <c r="F509" s="4">
        <f>IF($E509="","",IFERROR(VLOOKUP($E509,AKUN!$A$2:$B$200,2,FALSE),"Kode tidak ditemukan"))</f>
        <v/>
      </c>
      <c r="G509" s="4" t="n"/>
      <c r="H509" s="9" t="n"/>
      <c r="I509" s="9" t="n"/>
      <c r="J509" s="18">
        <f>IF($B509="","",MONTH($B509))</f>
        <v/>
      </c>
      <c r="K509" s="18">
        <f>IF($B509="","",YEAR($B509))</f>
        <v/>
      </c>
    </row>
    <row r="510">
      <c r="A510" s="13">
        <f>IF($B510="","",ROW()-9)</f>
        <v/>
      </c>
      <c r="B510" s="14" t="n"/>
      <c r="C510" s="15" t="n"/>
      <c r="D510" s="15" t="n"/>
      <c r="E510" s="15" t="n"/>
      <c r="F510" s="15">
        <f>IF($E510="","",IFERROR(VLOOKUP($E510,AKUN!$A$2:$B$200,2,FALSE),"Kode tidak ditemukan"))</f>
        <v/>
      </c>
      <c r="G510" s="15" t="n"/>
      <c r="H510" s="17" t="n"/>
      <c r="I510" s="17" t="n"/>
      <c r="J510" s="13">
        <f>IF($B510="","",MONTH($B510))</f>
        <v/>
      </c>
      <c r="K510" s="13">
        <f>IF($B510="","",YEAR($B510))</f>
        <v/>
      </c>
    </row>
    <row r="511">
      <c r="A511" s="18">
        <f>IF($B511="","",ROW()-9)</f>
        <v/>
      </c>
      <c r="B511" s="19" t="n"/>
      <c r="C511" s="4" t="n"/>
      <c r="D511" s="4" t="n"/>
      <c r="E511" s="4" t="n"/>
      <c r="F511" s="4">
        <f>IF($E511="","",IFERROR(VLOOKUP($E511,AKUN!$A$2:$B$200,2,FALSE),"Kode tidak ditemukan"))</f>
        <v/>
      </c>
      <c r="G511" s="4" t="n"/>
      <c r="H511" s="9" t="n"/>
      <c r="I511" s="9" t="n"/>
      <c r="J511" s="18">
        <f>IF($B511="","",MONTH($B511))</f>
        <v/>
      </c>
      <c r="K511" s="18">
        <f>IF($B511="","",YEAR($B511))</f>
        <v/>
      </c>
    </row>
    <row r="512">
      <c r="A512" s="13">
        <f>IF($B512="","",ROW()-9)</f>
        <v/>
      </c>
      <c r="B512" s="14" t="n"/>
      <c r="C512" s="15" t="n"/>
      <c r="D512" s="15" t="n"/>
      <c r="E512" s="15" t="n"/>
      <c r="F512" s="15">
        <f>IF($E512="","",IFERROR(VLOOKUP($E512,AKUN!$A$2:$B$200,2,FALSE),"Kode tidak ditemukan"))</f>
        <v/>
      </c>
      <c r="G512" s="15" t="n"/>
      <c r="H512" s="17" t="n"/>
      <c r="I512" s="17" t="n"/>
      <c r="J512" s="13">
        <f>IF($B512="","",MONTH($B512))</f>
        <v/>
      </c>
      <c r="K512" s="13">
        <f>IF($B512="","",YEAR($B512))</f>
        <v/>
      </c>
    </row>
    <row r="513">
      <c r="A513" s="18">
        <f>IF($B513="","",ROW()-9)</f>
        <v/>
      </c>
      <c r="B513" s="19" t="n"/>
      <c r="C513" s="4" t="n"/>
      <c r="D513" s="4" t="n"/>
      <c r="E513" s="4" t="n"/>
      <c r="F513" s="4">
        <f>IF($E513="","",IFERROR(VLOOKUP($E513,AKUN!$A$2:$B$200,2,FALSE),"Kode tidak ditemukan"))</f>
        <v/>
      </c>
      <c r="G513" s="4" t="n"/>
      <c r="H513" s="9" t="n"/>
      <c r="I513" s="9" t="n"/>
      <c r="J513" s="18">
        <f>IF($B513="","",MONTH($B513))</f>
        <v/>
      </c>
      <c r="K513" s="18">
        <f>IF($B513="","",YEAR($B513))</f>
        <v/>
      </c>
    </row>
    <row r="514">
      <c r="A514" s="13">
        <f>IF($B514="","",ROW()-9)</f>
        <v/>
      </c>
      <c r="B514" s="14" t="n"/>
      <c r="C514" s="15" t="n"/>
      <c r="D514" s="15" t="n"/>
      <c r="E514" s="15" t="n"/>
      <c r="F514" s="15">
        <f>IF($E514="","",IFERROR(VLOOKUP($E514,AKUN!$A$2:$B$200,2,FALSE),"Kode tidak ditemukan"))</f>
        <v/>
      </c>
      <c r="G514" s="15" t="n"/>
      <c r="H514" s="17" t="n"/>
      <c r="I514" s="17" t="n"/>
      <c r="J514" s="13">
        <f>IF($B514="","",MONTH($B514))</f>
        <v/>
      </c>
      <c r="K514" s="13">
        <f>IF($B514="","",YEAR($B514))</f>
        <v/>
      </c>
    </row>
    <row r="515">
      <c r="A515" s="18">
        <f>IF($B515="","",ROW()-9)</f>
        <v/>
      </c>
      <c r="B515" s="19" t="n"/>
      <c r="C515" s="4" t="n"/>
      <c r="D515" s="4" t="n"/>
      <c r="E515" s="4" t="n"/>
      <c r="F515" s="4">
        <f>IF($E515="","",IFERROR(VLOOKUP($E515,AKUN!$A$2:$B$200,2,FALSE),"Kode tidak ditemukan"))</f>
        <v/>
      </c>
      <c r="G515" s="4" t="n"/>
      <c r="H515" s="9" t="n"/>
      <c r="I515" s="9" t="n"/>
      <c r="J515" s="18">
        <f>IF($B515="","",MONTH($B515))</f>
        <v/>
      </c>
      <c r="K515" s="18">
        <f>IF($B515="","",YEAR($B515))</f>
        <v/>
      </c>
    </row>
    <row r="516">
      <c r="A516" s="13">
        <f>IF($B516="","",ROW()-9)</f>
        <v/>
      </c>
      <c r="B516" s="14" t="n"/>
      <c r="C516" s="15" t="n"/>
      <c r="D516" s="15" t="n"/>
      <c r="E516" s="15" t="n"/>
      <c r="F516" s="15">
        <f>IF($E516="","",IFERROR(VLOOKUP($E516,AKUN!$A$2:$B$200,2,FALSE),"Kode tidak ditemukan"))</f>
        <v/>
      </c>
      <c r="G516" s="15" t="n"/>
      <c r="H516" s="17" t="n"/>
      <c r="I516" s="17" t="n"/>
      <c r="J516" s="13">
        <f>IF($B516="","",MONTH($B516))</f>
        <v/>
      </c>
      <c r="K516" s="13">
        <f>IF($B516="","",YEAR($B516))</f>
        <v/>
      </c>
    </row>
    <row r="517">
      <c r="A517" s="18">
        <f>IF($B517="","",ROW()-9)</f>
        <v/>
      </c>
      <c r="B517" s="19" t="n"/>
      <c r="C517" s="4" t="n"/>
      <c r="D517" s="4" t="n"/>
      <c r="E517" s="4" t="n"/>
      <c r="F517" s="4">
        <f>IF($E517="","",IFERROR(VLOOKUP($E517,AKUN!$A$2:$B$200,2,FALSE),"Kode tidak ditemukan"))</f>
        <v/>
      </c>
      <c r="G517" s="4" t="n"/>
      <c r="H517" s="9" t="n"/>
      <c r="I517" s="9" t="n"/>
      <c r="J517" s="18">
        <f>IF($B517="","",MONTH($B517))</f>
        <v/>
      </c>
      <c r="K517" s="18">
        <f>IF($B517="","",YEAR($B517))</f>
        <v/>
      </c>
    </row>
    <row r="518">
      <c r="A518" s="13">
        <f>IF($B518="","",ROW()-9)</f>
        <v/>
      </c>
      <c r="B518" s="14" t="n"/>
      <c r="C518" s="15" t="n"/>
      <c r="D518" s="15" t="n"/>
      <c r="E518" s="15" t="n"/>
      <c r="F518" s="15">
        <f>IF($E518="","",IFERROR(VLOOKUP($E518,AKUN!$A$2:$B$200,2,FALSE),"Kode tidak ditemukan"))</f>
        <v/>
      </c>
      <c r="G518" s="15" t="n"/>
      <c r="H518" s="17" t="n"/>
      <c r="I518" s="17" t="n"/>
      <c r="J518" s="13">
        <f>IF($B518="","",MONTH($B518))</f>
        <v/>
      </c>
      <c r="K518" s="13">
        <f>IF($B518="","",YEAR($B518))</f>
        <v/>
      </c>
    </row>
    <row r="519">
      <c r="A519" s="18">
        <f>IF($B519="","",ROW()-9)</f>
        <v/>
      </c>
      <c r="B519" s="19" t="n"/>
      <c r="C519" s="4" t="n"/>
      <c r="D519" s="4" t="n"/>
      <c r="E519" s="4" t="n"/>
      <c r="F519" s="4">
        <f>IF($E519="","",IFERROR(VLOOKUP($E519,AKUN!$A$2:$B$200,2,FALSE),"Kode tidak ditemukan"))</f>
        <v/>
      </c>
      <c r="G519" s="4" t="n"/>
      <c r="H519" s="9" t="n"/>
      <c r="I519" s="9" t="n"/>
      <c r="J519" s="18">
        <f>IF($B519="","",MONTH($B519))</f>
        <v/>
      </c>
      <c r="K519" s="18">
        <f>IF($B519="","",YEAR($B519))</f>
        <v/>
      </c>
    </row>
    <row r="520">
      <c r="A520" s="13">
        <f>IF($B520="","",ROW()-9)</f>
        <v/>
      </c>
      <c r="B520" s="14" t="n"/>
      <c r="C520" s="15" t="n"/>
      <c r="D520" s="15" t="n"/>
      <c r="E520" s="15" t="n"/>
      <c r="F520" s="15">
        <f>IF($E520="","",IFERROR(VLOOKUP($E520,AKUN!$A$2:$B$200,2,FALSE),"Kode tidak ditemukan"))</f>
        <v/>
      </c>
      <c r="G520" s="15" t="n"/>
      <c r="H520" s="17" t="n"/>
      <c r="I520" s="17" t="n"/>
      <c r="J520" s="13">
        <f>IF($B520="","",MONTH($B520))</f>
        <v/>
      </c>
      <c r="K520" s="13">
        <f>IF($B520="","",YEAR($B520))</f>
        <v/>
      </c>
    </row>
    <row r="521">
      <c r="A521" s="18">
        <f>IF($B521="","",ROW()-9)</f>
        <v/>
      </c>
      <c r="B521" s="19" t="n"/>
      <c r="C521" s="4" t="n"/>
      <c r="D521" s="4" t="n"/>
      <c r="E521" s="4" t="n"/>
      <c r="F521" s="4">
        <f>IF($E521="","",IFERROR(VLOOKUP($E521,AKUN!$A$2:$B$200,2,FALSE),"Kode tidak ditemukan"))</f>
        <v/>
      </c>
      <c r="G521" s="4" t="n"/>
      <c r="H521" s="9" t="n"/>
      <c r="I521" s="9" t="n"/>
      <c r="J521" s="18">
        <f>IF($B521="","",MONTH($B521))</f>
        <v/>
      </c>
      <c r="K521" s="18">
        <f>IF($B521="","",YEAR($B521))</f>
        <v/>
      </c>
    </row>
    <row r="522">
      <c r="A522" s="13">
        <f>IF($B522="","",ROW()-9)</f>
        <v/>
      </c>
      <c r="B522" s="14" t="n"/>
      <c r="C522" s="15" t="n"/>
      <c r="D522" s="15" t="n"/>
      <c r="E522" s="15" t="n"/>
      <c r="F522" s="15">
        <f>IF($E522="","",IFERROR(VLOOKUP($E522,AKUN!$A$2:$B$200,2,FALSE),"Kode tidak ditemukan"))</f>
        <v/>
      </c>
      <c r="G522" s="15" t="n"/>
      <c r="H522" s="17" t="n"/>
      <c r="I522" s="17" t="n"/>
      <c r="J522" s="13">
        <f>IF($B522="","",MONTH($B522))</f>
        <v/>
      </c>
      <c r="K522" s="13">
        <f>IF($B522="","",YEAR($B522))</f>
        <v/>
      </c>
    </row>
    <row r="523">
      <c r="A523" s="18">
        <f>IF($B523="","",ROW()-9)</f>
        <v/>
      </c>
      <c r="B523" s="19" t="n"/>
      <c r="C523" s="4" t="n"/>
      <c r="D523" s="4" t="n"/>
      <c r="E523" s="4" t="n"/>
      <c r="F523" s="4">
        <f>IF($E523="","",IFERROR(VLOOKUP($E523,AKUN!$A$2:$B$200,2,FALSE),"Kode tidak ditemukan"))</f>
        <v/>
      </c>
      <c r="G523" s="4" t="n"/>
      <c r="H523" s="9" t="n"/>
      <c r="I523" s="9" t="n"/>
      <c r="J523" s="18">
        <f>IF($B523="","",MONTH($B523))</f>
        <v/>
      </c>
      <c r="K523" s="18">
        <f>IF($B523="","",YEAR($B523))</f>
        <v/>
      </c>
    </row>
    <row r="524">
      <c r="A524" s="13">
        <f>IF($B524="","",ROW()-9)</f>
        <v/>
      </c>
      <c r="B524" s="14" t="n"/>
      <c r="C524" s="15" t="n"/>
      <c r="D524" s="15" t="n"/>
      <c r="E524" s="15" t="n"/>
      <c r="F524" s="15">
        <f>IF($E524="","",IFERROR(VLOOKUP($E524,AKUN!$A$2:$B$200,2,FALSE),"Kode tidak ditemukan"))</f>
        <v/>
      </c>
      <c r="G524" s="15" t="n"/>
      <c r="H524" s="17" t="n"/>
      <c r="I524" s="17" t="n"/>
      <c r="J524" s="13">
        <f>IF($B524="","",MONTH($B524))</f>
        <v/>
      </c>
      <c r="K524" s="13">
        <f>IF($B524="","",YEAR($B524))</f>
        <v/>
      </c>
    </row>
    <row r="525">
      <c r="A525" s="18">
        <f>IF($B525="","",ROW()-9)</f>
        <v/>
      </c>
      <c r="B525" s="19" t="n"/>
      <c r="C525" s="4" t="n"/>
      <c r="D525" s="4" t="n"/>
      <c r="E525" s="4" t="n"/>
      <c r="F525" s="4">
        <f>IF($E525="","",IFERROR(VLOOKUP($E525,AKUN!$A$2:$B$200,2,FALSE),"Kode tidak ditemukan"))</f>
        <v/>
      </c>
      <c r="G525" s="4" t="n"/>
      <c r="H525" s="9" t="n"/>
      <c r="I525" s="9" t="n"/>
      <c r="J525" s="18">
        <f>IF($B525="","",MONTH($B525))</f>
        <v/>
      </c>
      <c r="K525" s="18">
        <f>IF($B525="","",YEAR($B525))</f>
        <v/>
      </c>
    </row>
    <row r="526">
      <c r="A526" s="13">
        <f>IF($B526="","",ROW()-9)</f>
        <v/>
      </c>
      <c r="B526" s="14" t="n"/>
      <c r="C526" s="15" t="n"/>
      <c r="D526" s="15" t="n"/>
      <c r="E526" s="15" t="n"/>
      <c r="F526" s="15">
        <f>IF($E526="","",IFERROR(VLOOKUP($E526,AKUN!$A$2:$B$200,2,FALSE),"Kode tidak ditemukan"))</f>
        <v/>
      </c>
      <c r="G526" s="15" t="n"/>
      <c r="H526" s="17" t="n"/>
      <c r="I526" s="17" t="n"/>
      <c r="J526" s="13">
        <f>IF($B526="","",MONTH($B526))</f>
        <v/>
      </c>
      <c r="K526" s="13">
        <f>IF($B526="","",YEAR($B526))</f>
        <v/>
      </c>
    </row>
    <row r="527">
      <c r="A527" s="18">
        <f>IF($B527="","",ROW()-9)</f>
        <v/>
      </c>
      <c r="B527" s="19" t="n"/>
      <c r="C527" s="4" t="n"/>
      <c r="D527" s="4" t="n"/>
      <c r="E527" s="4" t="n"/>
      <c r="F527" s="4">
        <f>IF($E527="","",IFERROR(VLOOKUP($E527,AKUN!$A$2:$B$200,2,FALSE),"Kode tidak ditemukan"))</f>
        <v/>
      </c>
      <c r="G527" s="4" t="n"/>
      <c r="H527" s="9" t="n"/>
      <c r="I527" s="9" t="n"/>
      <c r="J527" s="18">
        <f>IF($B527="","",MONTH($B527))</f>
        <v/>
      </c>
      <c r="K527" s="18">
        <f>IF($B527="","",YEAR($B527))</f>
        <v/>
      </c>
    </row>
    <row r="528">
      <c r="A528" s="13">
        <f>IF($B528="","",ROW()-9)</f>
        <v/>
      </c>
      <c r="B528" s="14" t="n"/>
      <c r="C528" s="15" t="n"/>
      <c r="D528" s="15" t="n"/>
      <c r="E528" s="15" t="n"/>
      <c r="F528" s="15">
        <f>IF($E528="","",IFERROR(VLOOKUP($E528,AKUN!$A$2:$B$200,2,FALSE),"Kode tidak ditemukan"))</f>
        <v/>
      </c>
      <c r="G528" s="15" t="n"/>
      <c r="H528" s="17" t="n"/>
      <c r="I528" s="17" t="n"/>
      <c r="J528" s="13">
        <f>IF($B528="","",MONTH($B528))</f>
        <v/>
      </c>
      <c r="K528" s="13">
        <f>IF($B528="","",YEAR($B528))</f>
        <v/>
      </c>
    </row>
    <row r="529">
      <c r="A529" s="18">
        <f>IF($B529="","",ROW()-9)</f>
        <v/>
      </c>
      <c r="B529" s="19" t="n"/>
      <c r="C529" s="4" t="n"/>
      <c r="D529" s="4" t="n"/>
      <c r="E529" s="4" t="n"/>
      <c r="F529" s="4">
        <f>IF($E529="","",IFERROR(VLOOKUP($E529,AKUN!$A$2:$B$200,2,FALSE),"Kode tidak ditemukan"))</f>
        <v/>
      </c>
      <c r="G529" s="4" t="n"/>
      <c r="H529" s="9" t="n"/>
      <c r="I529" s="9" t="n"/>
      <c r="J529" s="18">
        <f>IF($B529="","",MONTH($B529))</f>
        <v/>
      </c>
      <c r="K529" s="18">
        <f>IF($B529="","",YEAR($B529))</f>
        <v/>
      </c>
    </row>
    <row r="530">
      <c r="A530" s="13">
        <f>IF($B530="","",ROW()-9)</f>
        <v/>
      </c>
      <c r="B530" s="14" t="n"/>
      <c r="C530" s="15" t="n"/>
      <c r="D530" s="15" t="n"/>
      <c r="E530" s="15" t="n"/>
      <c r="F530" s="15">
        <f>IF($E530="","",IFERROR(VLOOKUP($E530,AKUN!$A$2:$B$200,2,FALSE),"Kode tidak ditemukan"))</f>
        <v/>
      </c>
      <c r="G530" s="15" t="n"/>
      <c r="H530" s="17" t="n"/>
      <c r="I530" s="17" t="n"/>
      <c r="J530" s="13">
        <f>IF($B530="","",MONTH($B530))</f>
        <v/>
      </c>
      <c r="K530" s="13">
        <f>IF($B530="","",YEAR($B530))</f>
        <v/>
      </c>
    </row>
    <row r="531">
      <c r="A531" s="18">
        <f>IF($B531="","",ROW()-9)</f>
        <v/>
      </c>
      <c r="B531" s="19" t="n"/>
      <c r="C531" s="4" t="n"/>
      <c r="D531" s="4" t="n"/>
      <c r="E531" s="4" t="n"/>
      <c r="F531" s="4">
        <f>IF($E531="","",IFERROR(VLOOKUP($E531,AKUN!$A$2:$B$200,2,FALSE),"Kode tidak ditemukan"))</f>
        <v/>
      </c>
      <c r="G531" s="4" t="n"/>
      <c r="H531" s="9" t="n"/>
      <c r="I531" s="9" t="n"/>
      <c r="J531" s="18">
        <f>IF($B531="","",MONTH($B531))</f>
        <v/>
      </c>
      <c r="K531" s="18">
        <f>IF($B531="","",YEAR($B531))</f>
        <v/>
      </c>
    </row>
    <row r="532">
      <c r="A532" s="13">
        <f>IF($B532="","",ROW()-9)</f>
        <v/>
      </c>
      <c r="B532" s="14" t="n"/>
      <c r="C532" s="15" t="n"/>
      <c r="D532" s="15" t="n"/>
      <c r="E532" s="15" t="n"/>
      <c r="F532" s="15">
        <f>IF($E532="","",IFERROR(VLOOKUP($E532,AKUN!$A$2:$B$200,2,FALSE),"Kode tidak ditemukan"))</f>
        <v/>
      </c>
      <c r="G532" s="15" t="n"/>
      <c r="H532" s="17" t="n"/>
      <c r="I532" s="17" t="n"/>
      <c r="J532" s="13">
        <f>IF($B532="","",MONTH($B532))</f>
        <v/>
      </c>
      <c r="K532" s="13">
        <f>IF($B532="","",YEAR($B532))</f>
        <v/>
      </c>
    </row>
    <row r="533">
      <c r="A533" s="18">
        <f>IF($B533="","",ROW()-9)</f>
        <v/>
      </c>
      <c r="B533" s="19" t="n"/>
      <c r="C533" s="4" t="n"/>
      <c r="D533" s="4" t="n"/>
      <c r="E533" s="4" t="n"/>
      <c r="F533" s="4">
        <f>IF($E533="","",IFERROR(VLOOKUP($E533,AKUN!$A$2:$B$200,2,FALSE),"Kode tidak ditemukan"))</f>
        <v/>
      </c>
      <c r="G533" s="4" t="n"/>
      <c r="H533" s="9" t="n"/>
      <c r="I533" s="9" t="n"/>
      <c r="J533" s="18">
        <f>IF($B533="","",MONTH($B533))</f>
        <v/>
      </c>
      <c r="K533" s="18">
        <f>IF($B533="","",YEAR($B533))</f>
        <v/>
      </c>
    </row>
    <row r="534">
      <c r="A534" s="13">
        <f>IF($B534="","",ROW()-9)</f>
        <v/>
      </c>
      <c r="B534" s="14" t="n"/>
      <c r="C534" s="15" t="n"/>
      <c r="D534" s="15" t="n"/>
      <c r="E534" s="15" t="n"/>
      <c r="F534" s="15">
        <f>IF($E534="","",IFERROR(VLOOKUP($E534,AKUN!$A$2:$B$200,2,FALSE),"Kode tidak ditemukan"))</f>
        <v/>
      </c>
      <c r="G534" s="15" t="n"/>
      <c r="H534" s="17" t="n"/>
      <c r="I534" s="17" t="n"/>
      <c r="J534" s="13">
        <f>IF($B534="","",MONTH($B534))</f>
        <v/>
      </c>
      <c r="K534" s="13">
        <f>IF($B534="","",YEAR($B534))</f>
        <v/>
      </c>
    </row>
    <row r="535">
      <c r="A535" s="18">
        <f>IF($B535="","",ROW()-9)</f>
        <v/>
      </c>
      <c r="B535" s="19" t="n"/>
      <c r="C535" s="4" t="n"/>
      <c r="D535" s="4" t="n"/>
      <c r="E535" s="4" t="n"/>
      <c r="F535" s="4">
        <f>IF($E535="","",IFERROR(VLOOKUP($E535,AKUN!$A$2:$B$200,2,FALSE),"Kode tidak ditemukan"))</f>
        <v/>
      </c>
      <c r="G535" s="4" t="n"/>
      <c r="H535" s="9" t="n"/>
      <c r="I535" s="9" t="n"/>
      <c r="J535" s="18">
        <f>IF($B535="","",MONTH($B535))</f>
        <v/>
      </c>
      <c r="K535" s="18">
        <f>IF($B535="","",YEAR($B535))</f>
        <v/>
      </c>
    </row>
    <row r="536">
      <c r="A536" s="13">
        <f>IF($B536="","",ROW()-9)</f>
        <v/>
      </c>
      <c r="B536" s="14" t="n"/>
      <c r="C536" s="15" t="n"/>
      <c r="D536" s="15" t="n"/>
      <c r="E536" s="15" t="n"/>
      <c r="F536" s="15">
        <f>IF($E536="","",IFERROR(VLOOKUP($E536,AKUN!$A$2:$B$200,2,FALSE),"Kode tidak ditemukan"))</f>
        <v/>
      </c>
      <c r="G536" s="15" t="n"/>
      <c r="H536" s="17" t="n"/>
      <c r="I536" s="17" t="n"/>
      <c r="J536" s="13">
        <f>IF($B536="","",MONTH($B536))</f>
        <v/>
      </c>
      <c r="K536" s="13">
        <f>IF($B536="","",YEAR($B536))</f>
        <v/>
      </c>
    </row>
    <row r="537">
      <c r="A537" s="18">
        <f>IF($B537="","",ROW()-9)</f>
        <v/>
      </c>
      <c r="B537" s="19" t="n"/>
      <c r="C537" s="4" t="n"/>
      <c r="D537" s="4" t="n"/>
      <c r="E537" s="4" t="n"/>
      <c r="F537" s="4">
        <f>IF($E537="","",IFERROR(VLOOKUP($E537,AKUN!$A$2:$B$200,2,FALSE),"Kode tidak ditemukan"))</f>
        <v/>
      </c>
      <c r="G537" s="4" t="n"/>
      <c r="H537" s="9" t="n"/>
      <c r="I537" s="9" t="n"/>
      <c r="J537" s="18">
        <f>IF($B537="","",MONTH($B537))</f>
        <v/>
      </c>
      <c r="K537" s="18">
        <f>IF($B537="","",YEAR($B537))</f>
        <v/>
      </c>
    </row>
    <row r="538">
      <c r="A538" s="13">
        <f>IF($B538="","",ROW()-9)</f>
        <v/>
      </c>
      <c r="B538" s="14" t="n"/>
      <c r="C538" s="15" t="n"/>
      <c r="D538" s="15" t="n"/>
      <c r="E538" s="15" t="n"/>
      <c r="F538" s="15">
        <f>IF($E538="","",IFERROR(VLOOKUP($E538,AKUN!$A$2:$B$200,2,FALSE),"Kode tidak ditemukan"))</f>
        <v/>
      </c>
      <c r="G538" s="15" t="n"/>
      <c r="H538" s="17" t="n"/>
      <c r="I538" s="17" t="n"/>
      <c r="J538" s="13">
        <f>IF($B538="","",MONTH($B538))</f>
        <v/>
      </c>
      <c r="K538" s="13">
        <f>IF($B538="","",YEAR($B538))</f>
        <v/>
      </c>
    </row>
    <row r="539">
      <c r="A539" s="18">
        <f>IF($B539="","",ROW()-9)</f>
        <v/>
      </c>
      <c r="B539" s="19" t="n"/>
      <c r="C539" s="4" t="n"/>
      <c r="D539" s="4" t="n"/>
      <c r="E539" s="4" t="n"/>
      <c r="F539" s="4">
        <f>IF($E539="","",IFERROR(VLOOKUP($E539,AKUN!$A$2:$B$200,2,FALSE),"Kode tidak ditemukan"))</f>
        <v/>
      </c>
      <c r="G539" s="4" t="n"/>
      <c r="H539" s="9" t="n"/>
      <c r="I539" s="9" t="n"/>
      <c r="J539" s="18">
        <f>IF($B539="","",MONTH($B539))</f>
        <v/>
      </c>
      <c r="K539" s="18">
        <f>IF($B539="","",YEAR($B539))</f>
        <v/>
      </c>
    </row>
    <row r="540">
      <c r="A540" s="13">
        <f>IF($B540="","",ROW()-9)</f>
        <v/>
      </c>
      <c r="B540" s="14" t="n"/>
      <c r="C540" s="15" t="n"/>
      <c r="D540" s="15" t="n"/>
      <c r="E540" s="15" t="n"/>
      <c r="F540" s="15">
        <f>IF($E540="","",IFERROR(VLOOKUP($E540,AKUN!$A$2:$B$200,2,FALSE),"Kode tidak ditemukan"))</f>
        <v/>
      </c>
      <c r="G540" s="15" t="n"/>
      <c r="H540" s="17" t="n"/>
      <c r="I540" s="17" t="n"/>
      <c r="J540" s="13">
        <f>IF($B540="","",MONTH($B540))</f>
        <v/>
      </c>
      <c r="K540" s="13">
        <f>IF($B540="","",YEAR($B540))</f>
        <v/>
      </c>
    </row>
    <row r="541">
      <c r="A541" s="18">
        <f>IF($B541="","",ROW()-9)</f>
        <v/>
      </c>
      <c r="B541" s="19" t="n"/>
      <c r="C541" s="4" t="n"/>
      <c r="D541" s="4" t="n"/>
      <c r="E541" s="4" t="n"/>
      <c r="F541" s="4">
        <f>IF($E541="","",IFERROR(VLOOKUP($E541,AKUN!$A$2:$B$200,2,FALSE),"Kode tidak ditemukan"))</f>
        <v/>
      </c>
      <c r="G541" s="4" t="n"/>
      <c r="H541" s="9" t="n"/>
      <c r="I541" s="9" t="n"/>
      <c r="J541" s="18">
        <f>IF($B541="","",MONTH($B541))</f>
        <v/>
      </c>
      <c r="K541" s="18">
        <f>IF($B541="","",YEAR($B541))</f>
        <v/>
      </c>
    </row>
    <row r="542">
      <c r="A542" s="13">
        <f>IF($B542="","",ROW()-9)</f>
        <v/>
      </c>
      <c r="B542" s="14" t="n"/>
      <c r="C542" s="15" t="n"/>
      <c r="D542" s="15" t="n"/>
      <c r="E542" s="15" t="n"/>
      <c r="F542" s="15">
        <f>IF($E542="","",IFERROR(VLOOKUP($E542,AKUN!$A$2:$B$200,2,FALSE),"Kode tidak ditemukan"))</f>
        <v/>
      </c>
      <c r="G542" s="15" t="n"/>
      <c r="H542" s="17" t="n"/>
      <c r="I542" s="17" t="n"/>
      <c r="J542" s="13">
        <f>IF($B542="","",MONTH($B542))</f>
        <v/>
      </c>
      <c r="K542" s="13">
        <f>IF($B542="","",YEAR($B542))</f>
        <v/>
      </c>
    </row>
    <row r="543">
      <c r="A543" s="18">
        <f>IF($B543="","",ROW()-9)</f>
        <v/>
      </c>
      <c r="B543" s="19" t="n"/>
      <c r="C543" s="4" t="n"/>
      <c r="D543" s="4" t="n"/>
      <c r="E543" s="4" t="n"/>
      <c r="F543" s="4">
        <f>IF($E543="","",IFERROR(VLOOKUP($E543,AKUN!$A$2:$B$200,2,FALSE),"Kode tidak ditemukan"))</f>
        <v/>
      </c>
      <c r="G543" s="4" t="n"/>
      <c r="H543" s="9" t="n"/>
      <c r="I543" s="9" t="n"/>
      <c r="J543" s="18">
        <f>IF($B543="","",MONTH($B543))</f>
        <v/>
      </c>
      <c r="K543" s="18">
        <f>IF($B543="","",YEAR($B543))</f>
        <v/>
      </c>
    </row>
    <row r="544">
      <c r="A544" s="13">
        <f>IF($B544="","",ROW()-9)</f>
        <v/>
      </c>
      <c r="B544" s="14" t="n"/>
      <c r="C544" s="15" t="n"/>
      <c r="D544" s="15" t="n"/>
      <c r="E544" s="15" t="n"/>
      <c r="F544" s="15">
        <f>IF($E544="","",IFERROR(VLOOKUP($E544,AKUN!$A$2:$B$200,2,FALSE),"Kode tidak ditemukan"))</f>
        <v/>
      </c>
      <c r="G544" s="15" t="n"/>
      <c r="H544" s="17" t="n"/>
      <c r="I544" s="17" t="n"/>
      <c r="J544" s="13">
        <f>IF($B544="","",MONTH($B544))</f>
        <v/>
      </c>
      <c r="K544" s="13">
        <f>IF($B544="","",YEAR($B544))</f>
        <v/>
      </c>
    </row>
    <row r="545">
      <c r="A545" s="18">
        <f>IF($B545="","",ROW()-9)</f>
        <v/>
      </c>
      <c r="B545" s="19" t="n"/>
      <c r="C545" s="4" t="n"/>
      <c r="D545" s="4" t="n"/>
      <c r="E545" s="4" t="n"/>
      <c r="F545" s="4">
        <f>IF($E545="","",IFERROR(VLOOKUP($E545,AKUN!$A$2:$B$200,2,FALSE),"Kode tidak ditemukan"))</f>
        <v/>
      </c>
      <c r="G545" s="4" t="n"/>
      <c r="H545" s="9" t="n"/>
      <c r="I545" s="9" t="n"/>
      <c r="J545" s="18">
        <f>IF($B545="","",MONTH($B545))</f>
        <v/>
      </c>
      <c r="K545" s="18">
        <f>IF($B545="","",YEAR($B545))</f>
        <v/>
      </c>
    </row>
    <row r="546">
      <c r="A546" s="13">
        <f>IF($B546="","",ROW()-9)</f>
        <v/>
      </c>
      <c r="B546" s="14" t="n"/>
      <c r="C546" s="15" t="n"/>
      <c r="D546" s="15" t="n"/>
      <c r="E546" s="15" t="n"/>
      <c r="F546" s="15">
        <f>IF($E546="","",IFERROR(VLOOKUP($E546,AKUN!$A$2:$B$200,2,FALSE),"Kode tidak ditemukan"))</f>
        <v/>
      </c>
      <c r="G546" s="15" t="n"/>
      <c r="H546" s="17" t="n"/>
      <c r="I546" s="17" t="n"/>
      <c r="J546" s="13">
        <f>IF($B546="","",MONTH($B546))</f>
        <v/>
      </c>
      <c r="K546" s="13">
        <f>IF($B546="","",YEAR($B546))</f>
        <v/>
      </c>
    </row>
    <row r="547">
      <c r="A547" s="18">
        <f>IF($B547="","",ROW()-9)</f>
        <v/>
      </c>
      <c r="B547" s="19" t="n"/>
      <c r="C547" s="4" t="n"/>
      <c r="D547" s="4" t="n"/>
      <c r="E547" s="4" t="n"/>
      <c r="F547" s="4">
        <f>IF($E547="","",IFERROR(VLOOKUP($E547,AKUN!$A$2:$B$200,2,FALSE),"Kode tidak ditemukan"))</f>
        <v/>
      </c>
      <c r="G547" s="4" t="n"/>
      <c r="H547" s="9" t="n"/>
      <c r="I547" s="9" t="n"/>
      <c r="J547" s="18">
        <f>IF($B547="","",MONTH($B547))</f>
        <v/>
      </c>
      <c r="K547" s="18">
        <f>IF($B547="","",YEAR($B547))</f>
        <v/>
      </c>
    </row>
    <row r="548">
      <c r="A548" s="13">
        <f>IF($B548="","",ROW()-9)</f>
        <v/>
      </c>
      <c r="B548" s="14" t="n"/>
      <c r="C548" s="15" t="n"/>
      <c r="D548" s="15" t="n"/>
      <c r="E548" s="15" t="n"/>
      <c r="F548" s="15">
        <f>IF($E548="","",IFERROR(VLOOKUP($E548,AKUN!$A$2:$B$200,2,FALSE),"Kode tidak ditemukan"))</f>
        <v/>
      </c>
      <c r="G548" s="15" t="n"/>
      <c r="H548" s="17" t="n"/>
      <c r="I548" s="17" t="n"/>
      <c r="J548" s="13">
        <f>IF($B548="","",MONTH($B548))</f>
        <v/>
      </c>
      <c r="K548" s="13">
        <f>IF($B548="","",YEAR($B548))</f>
        <v/>
      </c>
    </row>
    <row r="549">
      <c r="A549" s="18">
        <f>IF($B549="","",ROW()-9)</f>
        <v/>
      </c>
      <c r="B549" s="19" t="n"/>
      <c r="C549" s="4" t="n"/>
      <c r="D549" s="4" t="n"/>
      <c r="E549" s="4" t="n"/>
      <c r="F549" s="4">
        <f>IF($E549="","",IFERROR(VLOOKUP($E549,AKUN!$A$2:$B$200,2,FALSE),"Kode tidak ditemukan"))</f>
        <v/>
      </c>
      <c r="G549" s="4" t="n"/>
      <c r="H549" s="9" t="n"/>
      <c r="I549" s="9" t="n"/>
      <c r="J549" s="18">
        <f>IF($B549="","",MONTH($B549))</f>
        <v/>
      </c>
      <c r="K549" s="18">
        <f>IF($B549="","",YEAR($B549))</f>
        <v/>
      </c>
    </row>
    <row r="550">
      <c r="A550" s="13">
        <f>IF($B550="","",ROW()-9)</f>
        <v/>
      </c>
      <c r="B550" s="14" t="n"/>
      <c r="C550" s="15" t="n"/>
      <c r="D550" s="15" t="n"/>
      <c r="E550" s="15" t="n"/>
      <c r="F550" s="15">
        <f>IF($E550="","",IFERROR(VLOOKUP($E550,AKUN!$A$2:$B$200,2,FALSE),"Kode tidak ditemukan"))</f>
        <v/>
      </c>
      <c r="G550" s="15" t="n"/>
      <c r="H550" s="17" t="n"/>
      <c r="I550" s="17" t="n"/>
      <c r="J550" s="13">
        <f>IF($B550="","",MONTH($B550))</f>
        <v/>
      </c>
      <c r="K550" s="13">
        <f>IF($B550="","",YEAR($B550))</f>
        <v/>
      </c>
    </row>
    <row r="551">
      <c r="A551" s="18">
        <f>IF($B551="","",ROW()-9)</f>
        <v/>
      </c>
      <c r="B551" s="19" t="n"/>
      <c r="C551" s="4" t="n"/>
      <c r="D551" s="4" t="n"/>
      <c r="E551" s="4" t="n"/>
      <c r="F551" s="4">
        <f>IF($E551="","",IFERROR(VLOOKUP($E551,AKUN!$A$2:$B$200,2,FALSE),"Kode tidak ditemukan"))</f>
        <v/>
      </c>
      <c r="G551" s="4" t="n"/>
      <c r="H551" s="9" t="n"/>
      <c r="I551" s="9" t="n"/>
      <c r="J551" s="18">
        <f>IF($B551="","",MONTH($B551))</f>
        <v/>
      </c>
      <c r="K551" s="18">
        <f>IF($B551="","",YEAR($B551))</f>
        <v/>
      </c>
    </row>
    <row r="552">
      <c r="A552" s="13">
        <f>IF($B552="","",ROW()-9)</f>
        <v/>
      </c>
      <c r="B552" s="14" t="n"/>
      <c r="C552" s="15" t="n"/>
      <c r="D552" s="15" t="n"/>
      <c r="E552" s="15" t="n"/>
      <c r="F552" s="15">
        <f>IF($E552="","",IFERROR(VLOOKUP($E552,AKUN!$A$2:$B$200,2,FALSE),"Kode tidak ditemukan"))</f>
        <v/>
      </c>
      <c r="G552" s="15" t="n"/>
      <c r="H552" s="17" t="n"/>
      <c r="I552" s="17" t="n"/>
      <c r="J552" s="13">
        <f>IF($B552="","",MONTH($B552))</f>
        <v/>
      </c>
      <c r="K552" s="13">
        <f>IF($B552="","",YEAR($B552))</f>
        <v/>
      </c>
    </row>
    <row r="553">
      <c r="A553" s="18">
        <f>IF($B553="","",ROW()-9)</f>
        <v/>
      </c>
      <c r="B553" s="19" t="n"/>
      <c r="C553" s="4" t="n"/>
      <c r="D553" s="4" t="n"/>
      <c r="E553" s="4" t="n"/>
      <c r="F553" s="4">
        <f>IF($E553="","",IFERROR(VLOOKUP($E553,AKUN!$A$2:$B$200,2,FALSE),"Kode tidak ditemukan"))</f>
        <v/>
      </c>
      <c r="G553" s="4" t="n"/>
      <c r="H553" s="9" t="n"/>
      <c r="I553" s="9" t="n"/>
      <c r="J553" s="18">
        <f>IF($B553="","",MONTH($B553))</f>
        <v/>
      </c>
      <c r="K553" s="18">
        <f>IF($B553="","",YEAR($B553))</f>
        <v/>
      </c>
    </row>
    <row r="554">
      <c r="A554" s="13">
        <f>IF($B554="","",ROW()-9)</f>
        <v/>
      </c>
      <c r="B554" s="14" t="n"/>
      <c r="C554" s="15" t="n"/>
      <c r="D554" s="15" t="n"/>
      <c r="E554" s="15" t="n"/>
      <c r="F554" s="15">
        <f>IF($E554="","",IFERROR(VLOOKUP($E554,AKUN!$A$2:$B$200,2,FALSE),"Kode tidak ditemukan"))</f>
        <v/>
      </c>
      <c r="G554" s="15" t="n"/>
      <c r="H554" s="17" t="n"/>
      <c r="I554" s="17" t="n"/>
      <c r="J554" s="13">
        <f>IF($B554="","",MONTH($B554))</f>
        <v/>
      </c>
      <c r="K554" s="13">
        <f>IF($B554="","",YEAR($B554))</f>
        <v/>
      </c>
    </row>
    <row r="555">
      <c r="A555" s="18">
        <f>IF($B555="","",ROW()-9)</f>
        <v/>
      </c>
      <c r="B555" s="19" t="n"/>
      <c r="C555" s="4" t="n"/>
      <c r="D555" s="4" t="n"/>
      <c r="E555" s="4" t="n"/>
      <c r="F555" s="4">
        <f>IF($E555="","",IFERROR(VLOOKUP($E555,AKUN!$A$2:$B$200,2,FALSE),"Kode tidak ditemukan"))</f>
        <v/>
      </c>
      <c r="G555" s="4" t="n"/>
      <c r="H555" s="9" t="n"/>
      <c r="I555" s="9" t="n"/>
      <c r="J555" s="18">
        <f>IF($B555="","",MONTH($B555))</f>
        <v/>
      </c>
      <c r="K555" s="18">
        <f>IF($B555="","",YEAR($B555))</f>
        <v/>
      </c>
    </row>
    <row r="556">
      <c r="A556" s="13">
        <f>IF($B556="","",ROW()-9)</f>
        <v/>
      </c>
      <c r="B556" s="14" t="n"/>
      <c r="C556" s="15" t="n"/>
      <c r="D556" s="15" t="n"/>
      <c r="E556" s="15" t="n"/>
      <c r="F556" s="15">
        <f>IF($E556="","",IFERROR(VLOOKUP($E556,AKUN!$A$2:$B$200,2,FALSE),"Kode tidak ditemukan"))</f>
        <v/>
      </c>
      <c r="G556" s="15" t="n"/>
      <c r="H556" s="17" t="n"/>
      <c r="I556" s="17" t="n"/>
      <c r="J556" s="13">
        <f>IF($B556="","",MONTH($B556))</f>
        <v/>
      </c>
      <c r="K556" s="13">
        <f>IF($B556="","",YEAR($B556))</f>
        <v/>
      </c>
    </row>
    <row r="557">
      <c r="A557" s="18">
        <f>IF($B557="","",ROW()-9)</f>
        <v/>
      </c>
      <c r="B557" s="19" t="n"/>
      <c r="C557" s="4" t="n"/>
      <c r="D557" s="4" t="n"/>
      <c r="E557" s="4" t="n"/>
      <c r="F557" s="4">
        <f>IF($E557="","",IFERROR(VLOOKUP($E557,AKUN!$A$2:$B$200,2,FALSE),"Kode tidak ditemukan"))</f>
        <v/>
      </c>
      <c r="G557" s="4" t="n"/>
      <c r="H557" s="9" t="n"/>
      <c r="I557" s="9" t="n"/>
      <c r="J557" s="18">
        <f>IF($B557="","",MONTH($B557))</f>
        <v/>
      </c>
      <c r="K557" s="18">
        <f>IF($B557="","",YEAR($B557))</f>
        <v/>
      </c>
    </row>
    <row r="558">
      <c r="A558" s="13">
        <f>IF($B558="","",ROW()-9)</f>
        <v/>
      </c>
      <c r="B558" s="14" t="n"/>
      <c r="C558" s="15" t="n"/>
      <c r="D558" s="15" t="n"/>
      <c r="E558" s="15" t="n"/>
      <c r="F558" s="15">
        <f>IF($E558="","",IFERROR(VLOOKUP($E558,AKUN!$A$2:$B$200,2,FALSE),"Kode tidak ditemukan"))</f>
        <v/>
      </c>
      <c r="G558" s="15" t="n"/>
      <c r="H558" s="17" t="n"/>
      <c r="I558" s="17" t="n"/>
      <c r="J558" s="13">
        <f>IF($B558="","",MONTH($B558))</f>
        <v/>
      </c>
      <c r="K558" s="13">
        <f>IF($B558="","",YEAR($B558))</f>
        <v/>
      </c>
    </row>
    <row r="559">
      <c r="A559" s="18">
        <f>IF($B559="","",ROW()-9)</f>
        <v/>
      </c>
      <c r="B559" s="19" t="n"/>
      <c r="C559" s="4" t="n"/>
      <c r="D559" s="4" t="n"/>
      <c r="E559" s="4" t="n"/>
      <c r="F559" s="4">
        <f>IF($E559="","",IFERROR(VLOOKUP($E559,AKUN!$A$2:$B$200,2,FALSE),"Kode tidak ditemukan"))</f>
        <v/>
      </c>
      <c r="G559" s="4" t="n"/>
      <c r="H559" s="9" t="n"/>
      <c r="I559" s="9" t="n"/>
      <c r="J559" s="18">
        <f>IF($B559="","",MONTH($B559))</f>
        <v/>
      </c>
      <c r="K559" s="18">
        <f>IF($B559="","",YEAR($B559))</f>
        <v/>
      </c>
    </row>
    <row r="560">
      <c r="A560" s="13">
        <f>IF($B560="","",ROW()-9)</f>
        <v/>
      </c>
      <c r="B560" s="14" t="n"/>
      <c r="C560" s="15" t="n"/>
      <c r="D560" s="15" t="n"/>
      <c r="E560" s="15" t="n"/>
      <c r="F560" s="15">
        <f>IF($E560="","",IFERROR(VLOOKUP($E560,AKUN!$A$2:$B$200,2,FALSE),"Kode tidak ditemukan"))</f>
        <v/>
      </c>
      <c r="G560" s="15" t="n"/>
      <c r="H560" s="17" t="n"/>
      <c r="I560" s="17" t="n"/>
      <c r="J560" s="13">
        <f>IF($B560="","",MONTH($B560))</f>
        <v/>
      </c>
      <c r="K560" s="13">
        <f>IF($B560="","",YEAR($B560))</f>
        <v/>
      </c>
    </row>
    <row r="561">
      <c r="A561" s="18">
        <f>IF($B561="","",ROW()-9)</f>
        <v/>
      </c>
      <c r="B561" s="19" t="n"/>
      <c r="C561" s="4" t="n"/>
      <c r="D561" s="4" t="n"/>
      <c r="E561" s="4" t="n"/>
      <c r="F561" s="4">
        <f>IF($E561="","",IFERROR(VLOOKUP($E561,AKUN!$A$2:$B$200,2,FALSE),"Kode tidak ditemukan"))</f>
        <v/>
      </c>
      <c r="G561" s="4" t="n"/>
      <c r="H561" s="9" t="n"/>
      <c r="I561" s="9" t="n"/>
      <c r="J561" s="18">
        <f>IF($B561="","",MONTH($B561))</f>
        <v/>
      </c>
      <c r="K561" s="18">
        <f>IF($B561="","",YEAR($B561))</f>
        <v/>
      </c>
    </row>
    <row r="562">
      <c r="A562" s="13">
        <f>IF($B562="","",ROW()-9)</f>
        <v/>
      </c>
      <c r="B562" s="14" t="n"/>
      <c r="C562" s="15" t="n"/>
      <c r="D562" s="15" t="n"/>
      <c r="E562" s="15" t="n"/>
      <c r="F562" s="15">
        <f>IF($E562="","",IFERROR(VLOOKUP($E562,AKUN!$A$2:$B$200,2,FALSE),"Kode tidak ditemukan"))</f>
        <v/>
      </c>
      <c r="G562" s="15" t="n"/>
      <c r="H562" s="17" t="n"/>
      <c r="I562" s="17" t="n"/>
      <c r="J562" s="13">
        <f>IF($B562="","",MONTH($B562))</f>
        <v/>
      </c>
      <c r="K562" s="13">
        <f>IF($B562="","",YEAR($B562))</f>
        <v/>
      </c>
    </row>
    <row r="563">
      <c r="A563" s="18">
        <f>IF($B563="","",ROW()-9)</f>
        <v/>
      </c>
      <c r="B563" s="19" t="n"/>
      <c r="C563" s="4" t="n"/>
      <c r="D563" s="4" t="n"/>
      <c r="E563" s="4" t="n"/>
      <c r="F563" s="4">
        <f>IF($E563="","",IFERROR(VLOOKUP($E563,AKUN!$A$2:$B$200,2,FALSE),"Kode tidak ditemukan"))</f>
        <v/>
      </c>
      <c r="G563" s="4" t="n"/>
      <c r="H563" s="9" t="n"/>
      <c r="I563" s="9" t="n"/>
      <c r="J563" s="18">
        <f>IF($B563="","",MONTH($B563))</f>
        <v/>
      </c>
      <c r="K563" s="18">
        <f>IF($B563="","",YEAR($B563))</f>
        <v/>
      </c>
    </row>
    <row r="564">
      <c r="A564" s="13">
        <f>IF($B564="","",ROW()-9)</f>
        <v/>
      </c>
      <c r="B564" s="14" t="n"/>
      <c r="C564" s="15" t="n"/>
      <c r="D564" s="15" t="n"/>
      <c r="E564" s="15" t="n"/>
      <c r="F564" s="15">
        <f>IF($E564="","",IFERROR(VLOOKUP($E564,AKUN!$A$2:$B$200,2,FALSE),"Kode tidak ditemukan"))</f>
        <v/>
      </c>
      <c r="G564" s="15" t="n"/>
      <c r="H564" s="17" t="n"/>
      <c r="I564" s="17" t="n"/>
      <c r="J564" s="13">
        <f>IF($B564="","",MONTH($B564))</f>
        <v/>
      </c>
      <c r="K564" s="13">
        <f>IF($B564="","",YEAR($B564))</f>
        <v/>
      </c>
    </row>
    <row r="565">
      <c r="A565" s="18">
        <f>IF($B565="","",ROW()-9)</f>
        <v/>
      </c>
      <c r="B565" s="19" t="n"/>
      <c r="C565" s="4" t="n"/>
      <c r="D565" s="4" t="n"/>
      <c r="E565" s="4" t="n"/>
      <c r="F565" s="4">
        <f>IF($E565="","",IFERROR(VLOOKUP($E565,AKUN!$A$2:$B$200,2,FALSE),"Kode tidak ditemukan"))</f>
        <v/>
      </c>
      <c r="G565" s="4" t="n"/>
      <c r="H565" s="9" t="n"/>
      <c r="I565" s="9" t="n"/>
      <c r="J565" s="18">
        <f>IF($B565="","",MONTH($B565))</f>
        <v/>
      </c>
      <c r="K565" s="18">
        <f>IF($B565="","",YEAR($B565))</f>
        <v/>
      </c>
    </row>
    <row r="566">
      <c r="A566" s="13">
        <f>IF($B566="","",ROW()-9)</f>
        <v/>
      </c>
      <c r="B566" s="14" t="n"/>
      <c r="C566" s="15" t="n"/>
      <c r="D566" s="15" t="n"/>
      <c r="E566" s="15" t="n"/>
      <c r="F566" s="15">
        <f>IF($E566="","",IFERROR(VLOOKUP($E566,AKUN!$A$2:$B$200,2,FALSE),"Kode tidak ditemukan"))</f>
        <v/>
      </c>
      <c r="G566" s="15" t="n"/>
      <c r="H566" s="17" t="n"/>
      <c r="I566" s="17" t="n"/>
      <c r="J566" s="13">
        <f>IF($B566="","",MONTH($B566))</f>
        <v/>
      </c>
      <c r="K566" s="13">
        <f>IF($B566="","",YEAR($B566))</f>
        <v/>
      </c>
    </row>
    <row r="567">
      <c r="A567" s="18">
        <f>IF($B567="","",ROW()-9)</f>
        <v/>
      </c>
      <c r="B567" s="19" t="n"/>
      <c r="C567" s="4" t="n"/>
      <c r="D567" s="4" t="n"/>
      <c r="E567" s="4" t="n"/>
      <c r="F567" s="4">
        <f>IF($E567="","",IFERROR(VLOOKUP($E567,AKUN!$A$2:$B$200,2,FALSE),"Kode tidak ditemukan"))</f>
        <v/>
      </c>
      <c r="G567" s="4" t="n"/>
      <c r="H567" s="9" t="n"/>
      <c r="I567" s="9" t="n"/>
      <c r="J567" s="18">
        <f>IF($B567="","",MONTH($B567))</f>
        <v/>
      </c>
      <c r="K567" s="18">
        <f>IF($B567="","",YEAR($B567))</f>
        <v/>
      </c>
    </row>
    <row r="568">
      <c r="A568" s="13">
        <f>IF($B568="","",ROW()-9)</f>
        <v/>
      </c>
      <c r="B568" s="14" t="n"/>
      <c r="C568" s="15" t="n"/>
      <c r="D568" s="15" t="n"/>
      <c r="E568" s="15" t="n"/>
      <c r="F568" s="15">
        <f>IF($E568="","",IFERROR(VLOOKUP($E568,AKUN!$A$2:$B$200,2,FALSE),"Kode tidak ditemukan"))</f>
        <v/>
      </c>
      <c r="G568" s="15" t="n"/>
      <c r="H568" s="17" t="n"/>
      <c r="I568" s="17" t="n"/>
      <c r="J568" s="13">
        <f>IF($B568="","",MONTH($B568))</f>
        <v/>
      </c>
      <c r="K568" s="13">
        <f>IF($B568="","",YEAR($B568))</f>
        <v/>
      </c>
    </row>
    <row r="569">
      <c r="A569" s="18">
        <f>IF($B569="","",ROW()-9)</f>
        <v/>
      </c>
      <c r="B569" s="19" t="n"/>
      <c r="C569" s="4" t="n"/>
      <c r="D569" s="4" t="n"/>
      <c r="E569" s="4" t="n"/>
      <c r="F569" s="4">
        <f>IF($E569="","",IFERROR(VLOOKUP($E569,AKUN!$A$2:$B$200,2,FALSE),"Kode tidak ditemukan"))</f>
        <v/>
      </c>
      <c r="G569" s="4" t="n"/>
      <c r="H569" s="9" t="n"/>
      <c r="I569" s="9" t="n"/>
      <c r="J569" s="18">
        <f>IF($B569="","",MONTH($B569))</f>
        <v/>
      </c>
      <c r="K569" s="18">
        <f>IF($B569="","",YEAR($B569))</f>
        <v/>
      </c>
    </row>
    <row r="570">
      <c r="A570" s="13">
        <f>IF($B570="","",ROW()-9)</f>
        <v/>
      </c>
      <c r="B570" s="14" t="n"/>
      <c r="C570" s="15" t="n"/>
      <c r="D570" s="15" t="n"/>
      <c r="E570" s="15" t="n"/>
      <c r="F570" s="15">
        <f>IF($E570="","",IFERROR(VLOOKUP($E570,AKUN!$A$2:$B$200,2,FALSE),"Kode tidak ditemukan"))</f>
        <v/>
      </c>
      <c r="G570" s="15" t="n"/>
      <c r="H570" s="17" t="n"/>
      <c r="I570" s="17" t="n"/>
      <c r="J570" s="13">
        <f>IF($B570="","",MONTH($B570))</f>
        <v/>
      </c>
      <c r="K570" s="13">
        <f>IF($B570="","",YEAR($B570))</f>
        <v/>
      </c>
    </row>
    <row r="571">
      <c r="A571" s="18">
        <f>IF($B571="","",ROW()-9)</f>
        <v/>
      </c>
      <c r="B571" s="19" t="n"/>
      <c r="C571" s="4" t="n"/>
      <c r="D571" s="4" t="n"/>
      <c r="E571" s="4" t="n"/>
      <c r="F571" s="4">
        <f>IF($E571="","",IFERROR(VLOOKUP($E571,AKUN!$A$2:$B$200,2,FALSE),"Kode tidak ditemukan"))</f>
        <v/>
      </c>
      <c r="G571" s="4" t="n"/>
      <c r="H571" s="9" t="n"/>
      <c r="I571" s="9" t="n"/>
      <c r="J571" s="18">
        <f>IF($B571="","",MONTH($B571))</f>
        <v/>
      </c>
      <c r="K571" s="18">
        <f>IF($B571="","",YEAR($B571))</f>
        <v/>
      </c>
    </row>
    <row r="572">
      <c r="A572" s="13">
        <f>IF($B572="","",ROW()-9)</f>
        <v/>
      </c>
      <c r="B572" s="14" t="n"/>
      <c r="C572" s="15" t="n"/>
      <c r="D572" s="15" t="n"/>
      <c r="E572" s="15" t="n"/>
      <c r="F572" s="15">
        <f>IF($E572="","",IFERROR(VLOOKUP($E572,AKUN!$A$2:$B$200,2,FALSE),"Kode tidak ditemukan"))</f>
        <v/>
      </c>
      <c r="G572" s="15" t="n"/>
      <c r="H572" s="17" t="n"/>
      <c r="I572" s="17" t="n"/>
      <c r="J572" s="13">
        <f>IF($B572="","",MONTH($B572))</f>
        <v/>
      </c>
      <c r="K572" s="13">
        <f>IF($B572="","",YEAR($B572))</f>
        <v/>
      </c>
    </row>
    <row r="573">
      <c r="A573" s="18">
        <f>IF($B573="","",ROW()-9)</f>
        <v/>
      </c>
      <c r="B573" s="19" t="n"/>
      <c r="C573" s="4" t="n"/>
      <c r="D573" s="4" t="n"/>
      <c r="E573" s="4" t="n"/>
      <c r="F573" s="4">
        <f>IF($E573="","",IFERROR(VLOOKUP($E573,AKUN!$A$2:$B$200,2,FALSE),"Kode tidak ditemukan"))</f>
        <v/>
      </c>
      <c r="G573" s="4" t="n"/>
      <c r="H573" s="9" t="n"/>
      <c r="I573" s="9" t="n"/>
      <c r="J573" s="18">
        <f>IF($B573="","",MONTH($B573))</f>
        <v/>
      </c>
      <c r="K573" s="18">
        <f>IF($B573="","",YEAR($B573))</f>
        <v/>
      </c>
    </row>
    <row r="574">
      <c r="A574" s="13">
        <f>IF($B574="","",ROW()-9)</f>
        <v/>
      </c>
      <c r="B574" s="14" t="n"/>
      <c r="C574" s="15" t="n"/>
      <c r="D574" s="15" t="n"/>
      <c r="E574" s="15" t="n"/>
      <c r="F574" s="15">
        <f>IF($E574="","",IFERROR(VLOOKUP($E574,AKUN!$A$2:$B$200,2,FALSE),"Kode tidak ditemukan"))</f>
        <v/>
      </c>
      <c r="G574" s="15" t="n"/>
      <c r="H574" s="17" t="n"/>
      <c r="I574" s="17" t="n"/>
      <c r="J574" s="13">
        <f>IF($B574="","",MONTH($B574))</f>
        <v/>
      </c>
      <c r="K574" s="13">
        <f>IF($B574="","",YEAR($B574))</f>
        <v/>
      </c>
    </row>
    <row r="575">
      <c r="A575" s="18">
        <f>IF($B575="","",ROW()-9)</f>
        <v/>
      </c>
      <c r="B575" s="19" t="n"/>
      <c r="C575" s="4" t="n"/>
      <c r="D575" s="4" t="n"/>
      <c r="E575" s="4" t="n"/>
      <c r="F575" s="4">
        <f>IF($E575="","",IFERROR(VLOOKUP($E575,AKUN!$A$2:$B$200,2,FALSE),"Kode tidak ditemukan"))</f>
        <v/>
      </c>
      <c r="G575" s="4" t="n"/>
      <c r="H575" s="9" t="n"/>
      <c r="I575" s="9" t="n"/>
      <c r="J575" s="18">
        <f>IF($B575="","",MONTH($B575))</f>
        <v/>
      </c>
      <c r="K575" s="18">
        <f>IF($B575="","",YEAR($B575))</f>
        <v/>
      </c>
    </row>
    <row r="576">
      <c r="A576" s="13">
        <f>IF($B576="","",ROW()-9)</f>
        <v/>
      </c>
      <c r="B576" s="14" t="n"/>
      <c r="C576" s="15" t="n"/>
      <c r="D576" s="15" t="n"/>
      <c r="E576" s="15" t="n"/>
      <c r="F576" s="15">
        <f>IF($E576="","",IFERROR(VLOOKUP($E576,AKUN!$A$2:$B$200,2,FALSE),"Kode tidak ditemukan"))</f>
        <v/>
      </c>
      <c r="G576" s="15" t="n"/>
      <c r="H576" s="17" t="n"/>
      <c r="I576" s="17" t="n"/>
      <c r="J576" s="13">
        <f>IF($B576="","",MONTH($B576))</f>
        <v/>
      </c>
      <c r="K576" s="13">
        <f>IF($B576="","",YEAR($B576))</f>
        <v/>
      </c>
    </row>
    <row r="577">
      <c r="A577" s="18">
        <f>IF($B577="","",ROW()-9)</f>
        <v/>
      </c>
      <c r="B577" s="19" t="n"/>
      <c r="C577" s="4" t="n"/>
      <c r="D577" s="4" t="n"/>
      <c r="E577" s="4" t="n"/>
      <c r="F577" s="4">
        <f>IF($E577="","",IFERROR(VLOOKUP($E577,AKUN!$A$2:$B$200,2,FALSE),"Kode tidak ditemukan"))</f>
        <v/>
      </c>
      <c r="G577" s="4" t="n"/>
      <c r="H577" s="9" t="n"/>
      <c r="I577" s="9" t="n"/>
      <c r="J577" s="18">
        <f>IF($B577="","",MONTH($B577))</f>
        <v/>
      </c>
      <c r="K577" s="18">
        <f>IF($B577="","",YEAR($B577))</f>
        <v/>
      </c>
    </row>
    <row r="578">
      <c r="A578" s="13">
        <f>IF($B578="","",ROW()-9)</f>
        <v/>
      </c>
      <c r="B578" s="14" t="n"/>
      <c r="C578" s="15" t="n"/>
      <c r="D578" s="15" t="n"/>
      <c r="E578" s="15" t="n"/>
      <c r="F578" s="15">
        <f>IF($E578="","",IFERROR(VLOOKUP($E578,AKUN!$A$2:$B$200,2,FALSE),"Kode tidak ditemukan"))</f>
        <v/>
      </c>
      <c r="G578" s="15" t="n"/>
      <c r="H578" s="17" t="n"/>
      <c r="I578" s="17" t="n"/>
      <c r="J578" s="13">
        <f>IF($B578="","",MONTH($B578))</f>
        <v/>
      </c>
      <c r="K578" s="13">
        <f>IF($B578="","",YEAR($B578))</f>
        <v/>
      </c>
    </row>
    <row r="579">
      <c r="A579" s="18">
        <f>IF($B579="","",ROW()-9)</f>
        <v/>
      </c>
      <c r="B579" s="19" t="n"/>
      <c r="C579" s="4" t="n"/>
      <c r="D579" s="4" t="n"/>
      <c r="E579" s="4" t="n"/>
      <c r="F579" s="4">
        <f>IF($E579="","",IFERROR(VLOOKUP($E579,AKUN!$A$2:$B$200,2,FALSE),"Kode tidak ditemukan"))</f>
        <v/>
      </c>
      <c r="G579" s="4" t="n"/>
      <c r="H579" s="9" t="n"/>
      <c r="I579" s="9" t="n"/>
      <c r="J579" s="18">
        <f>IF($B579="","",MONTH($B579))</f>
        <v/>
      </c>
      <c r="K579" s="18">
        <f>IF($B579="","",YEAR($B579))</f>
        <v/>
      </c>
    </row>
    <row r="580">
      <c r="A580" s="13">
        <f>IF($B580="","",ROW()-9)</f>
        <v/>
      </c>
      <c r="B580" s="14" t="n"/>
      <c r="C580" s="15" t="n"/>
      <c r="D580" s="15" t="n"/>
      <c r="E580" s="15" t="n"/>
      <c r="F580" s="15">
        <f>IF($E580="","",IFERROR(VLOOKUP($E580,AKUN!$A$2:$B$200,2,FALSE),"Kode tidak ditemukan"))</f>
        <v/>
      </c>
      <c r="G580" s="15" t="n"/>
      <c r="H580" s="17" t="n"/>
      <c r="I580" s="17" t="n"/>
      <c r="J580" s="13">
        <f>IF($B580="","",MONTH($B580))</f>
        <v/>
      </c>
      <c r="K580" s="13">
        <f>IF($B580="","",YEAR($B580))</f>
        <v/>
      </c>
    </row>
    <row r="581">
      <c r="A581" s="18">
        <f>IF($B581="","",ROW()-9)</f>
        <v/>
      </c>
      <c r="B581" s="19" t="n"/>
      <c r="C581" s="4" t="n"/>
      <c r="D581" s="4" t="n"/>
      <c r="E581" s="4" t="n"/>
      <c r="F581" s="4">
        <f>IF($E581="","",IFERROR(VLOOKUP($E581,AKUN!$A$2:$B$200,2,FALSE),"Kode tidak ditemukan"))</f>
        <v/>
      </c>
      <c r="G581" s="4" t="n"/>
      <c r="H581" s="9" t="n"/>
      <c r="I581" s="9" t="n"/>
      <c r="J581" s="18">
        <f>IF($B581="","",MONTH($B581))</f>
        <v/>
      </c>
      <c r="K581" s="18">
        <f>IF($B581="","",YEAR($B581))</f>
        <v/>
      </c>
    </row>
    <row r="582">
      <c r="A582" s="13">
        <f>IF($B582="","",ROW()-9)</f>
        <v/>
      </c>
      <c r="B582" s="14" t="n"/>
      <c r="C582" s="15" t="n"/>
      <c r="D582" s="15" t="n"/>
      <c r="E582" s="15" t="n"/>
      <c r="F582" s="15">
        <f>IF($E582="","",IFERROR(VLOOKUP($E582,AKUN!$A$2:$B$200,2,FALSE),"Kode tidak ditemukan"))</f>
        <v/>
      </c>
      <c r="G582" s="15" t="n"/>
      <c r="H582" s="17" t="n"/>
      <c r="I582" s="17" t="n"/>
      <c r="J582" s="13">
        <f>IF($B582="","",MONTH($B582))</f>
        <v/>
      </c>
      <c r="K582" s="13">
        <f>IF($B582="","",YEAR($B582))</f>
        <v/>
      </c>
    </row>
    <row r="583">
      <c r="A583" s="18">
        <f>IF($B583="","",ROW()-9)</f>
        <v/>
      </c>
      <c r="B583" s="19" t="n"/>
      <c r="C583" s="4" t="n"/>
      <c r="D583" s="4" t="n"/>
      <c r="E583" s="4" t="n"/>
      <c r="F583" s="4">
        <f>IF($E583="","",IFERROR(VLOOKUP($E583,AKUN!$A$2:$B$200,2,FALSE),"Kode tidak ditemukan"))</f>
        <v/>
      </c>
      <c r="G583" s="4" t="n"/>
      <c r="H583" s="9" t="n"/>
      <c r="I583" s="9" t="n"/>
      <c r="J583" s="18">
        <f>IF($B583="","",MONTH($B583))</f>
        <v/>
      </c>
      <c r="K583" s="18">
        <f>IF($B583="","",YEAR($B583))</f>
        <v/>
      </c>
    </row>
    <row r="584">
      <c r="A584" s="13">
        <f>IF($B584="","",ROW()-9)</f>
        <v/>
      </c>
      <c r="B584" s="14" t="n"/>
      <c r="C584" s="15" t="n"/>
      <c r="D584" s="15" t="n"/>
      <c r="E584" s="15" t="n"/>
      <c r="F584" s="15">
        <f>IF($E584="","",IFERROR(VLOOKUP($E584,AKUN!$A$2:$B$200,2,FALSE),"Kode tidak ditemukan"))</f>
        <v/>
      </c>
      <c r="G584" s="15" t="n"/>
      <c r="H584" s="17" t="n"/>
      <c r="I584" s="17" t="n"/>
      <c r="J584" s="13">
        <f>IF($B584="","",MONTH($B584))</f>
        <v/>
      </c>
      <c r="K584" s="13">
        <f>IF($B584="","",YEAR($B584))</f>
        <v/>
      </c>
    </row>
    <row r="585">
      <c r="A585" s="18">
        <f>IF($B585="","",ROW()-9)</f>
        <v/>
      </c>
      <c r="B585" s="19" t="n"/>
      <c r="C585" s="4" t="n"/>
      <c r="D585" s="4" t="n"/>
      <c r="E585" s="4" t="n"/>
      <c r="F585" s="4">
        <f>IF($E585="","",IFERROR(VLOOKUP($E585,AKUN!$A$2:$B$200,2,FALSE),"Kode tidak ditemukan"))</f>
        <v/>
      </c>
      <c r="G585" s="4" t="n"/>
      <c r="H585" s="9" t="n"/>
      <c r="I585" s="9" t="n"/>
      <c r="J585" s="18">
        <f>IF($B585="","",MONTH($B585))</f>
        <v/>
      </c>
      <c r="K585" s="18">
        <f>IF($B585="","",YEAR($B585))</f>
        <v/>
      </c>
    </row>
    <row r="586">
      <c r="A586" s="13">
        <f>IF($B586="","",ROW()-9)</f>
        <v/>
      </c>
      <c r="B586" s="14" t="n"/>
      <c r="C586" s="15" t="n"/>
      <c r="D586" s="15" t="n"/>
      <c r="E586" s="15" t="n"/>
      <c r="F586" s="15">
        <f>IF($E586="","",IFERROR(VLOOKUP($E586,AKUN!$A$2:$B$200,2,FALSE),"Kode tidak ditemukan"))</f>
        <v/>
      </c>
      <c r="G586" s="15" t="n"/>
      <c r="H586" s="17" t="n"/>
      <c r="I586" s="17" t="n"/>
      <c r="J586" s="13">
        <f>IF($B586="","",MONTH($B586))</f>
        <v/>
      </c>
      <c r="K586" s="13">
        <f>IF($B586="","",YEAR($B586))</f>
        <v/>
      </c>
    </row>
    <row r="587">
      <c r="A587" s="18">
        <f>IF($B587="","",ROW()-9)</f>
        <v/>
      </c>
      <c r="B587" s="19" t="n"/>
      <c r="C587" s="4" t="n"/>
      <c r="D587" s="4" t="n"/>
      <c r="E587" s="4" t="n"/>
      <c r="F587" s="4">
        <f>IF($E587="","",IFERROR(VLOOKUP($E587,AKUN!$A$2:$B$200,2,FALSE),"Kode tidak ditemukan"))</f>
        <v/>
      </c>
      <c r="G587" s="4" t="n"/>
      <c r="H587" s="9" t="n"/>
      <c r="I587" s="9" t="n"/>
      <c r="J587" s="18">
        <f>IF($B587="","",MONTH($B587))</f>
        <v/>
      </c>
      <c r="K587" s="18">
        <f>IF($B587="","",YEAR($B587))</f>
        <v/>
      </c>
    </row>
    <row r="588">
      <c r="A588" s="13">
        <f>IF($B588="","",ROW()-9)</f>
        <v/>
      </c>
      <c r="B588" s="14" t="n"/>
      <c r="C588" s="15" t="n"/>
      <c r="D588" s="15" t="n"/>
      <c r="E588" s="15" t="n"/>
      <c r="F588" s="15">
        <f>IF($E588="","",IFERROR(VLOOKUP($E588,AKUN!$A$2:$B$200,2,FALSE),"Kode tidak ditemukan"))</f>
        <v/>
      </c>
      <c r="G588" s="15" t="n"/>
      <c r="H588" s="17" t="n"/>
      <c r="I588" s="17" t="n"/>
      <c r="J588" s="13">
        <f>IF($B588="","",MONTH($B588))</f>
        <v/>
      </c>
      <c r="K588" s="13">
        <f>IF($B588="","",YEAR($B588))</f>
        <v/>
      </c>
    </row>
    <row r="589">
      <c r="A589" s="18">
        <f>IF($B589="","",ROW()-9)</f>
        <v/>
      </c>
      <c r="B589" s="19" t="n"/>
      <c r="C589" s="4" t="n"/>
      <c r="D589" s="4" t="n"/>
      <c r="E589" s="4" t="n"/>
      <c r="F589" s="4">
        <f>IF($E589="","",IFERROR(VLOOKUP($E589,AKUN!$A$2:$B$200,2,FALSE),"Kode tidak ditemukan"))</f>
        <v/>
      </c>
      <c r="G589" s="4" t="n"/>
      <c r="H589" s="9" t="n"/>
      <c r="I589" s="9" t="n"/>
      <c r="J589" s="18">
        <f>IF($B589="","",MONTH($B589))</f>
        <v/>
      </c>
      <c r="K589" s="18">
        <f>IF($B589="","",YEAR($B589))</f>
        <v/>
      </c>
    </row>
    <row r="590">
      <c r="A590" s="13">
        <f>IF($B590="","",ROW()-9)</f>
        <v/>
      </c>
      <c r="B590" s="14" t="n"/>
      <c r="C590" s="15" t="n"/>
      <c r="D590" s="15" t="n"/>
      <c r="E590" s="15" t="n"/>
      <c r="F590" s="15">
        <f>IF($E590="","",IFERROR(VLOOKUP($E590,AKUN!$A$2:$B$200,2,FALSE),"Kode tidak ditemukan"))</f>
        <v/>
      </c>
      <c r="G590" s="15" t="n"/>
      <c r="H590" s="17" t="n"/>
      <c r="I590" s="17" t="n"/>
      <c r="J590" s="13">
        <f>IF($B590="","",MONTH($B590))</f>
        <v/>
      </c>
      <c r="K590" s="13">
        <f>IF($B590="","",YEAR($B590))</f>
        <v/>
      </c>
    </row>
    <row r="591">
      <c r="A591" s="18">
        <f>IF($B591="","",ROW()-9)</f>
        <v/>
      </c>
      <c r="B591" s="19" t="n"/>
      <c r="C591" s="4" t="n"/>
      <c r="D591" s="4" t="n"/>
      <c r="E591" s="4" t="n"/>
      <c r="F591" s="4">
        <f>IF($E591="","",IFERROR(VLOOKUP($E591,AKUN!$A$2:$B$200,2,FALSE),"Kode tidak ditemukan"))</f>
        <v/>
      </c>
      <c r="G591" s="4" t="n"/>
      <c r="H591" s="9" t="n"/>
      <c r="I591" s="9" t="n"/>
      <c r="J591" s="18">
        <f>IF($B591="","",MONTH($B591))</f>
        <v/>
      </c>
      <c r="K591" s="18">
        <f>IF($B591="","",YEAR($B591))</f>
        <v/>
      </c>
    </row>
    <row r="592">
      <c r="A592" s="13">
        <f>IF($B592="","",ROW()-9)</f>
        <v/>
      </c>
      <c r="B592" s="14" t="n"/>
      <c r="C592" s="15" t="n"/>
      <c r="D592" s="15" t="n"/>
      <c r="E592" s="15" t="n"/>
      <c r="F592" s="15">
        <f>IF($E592="","",IFERROR(VLOOKUP($E592,AKUN!$A$2:$B$200,2,FALSE),"Kode tidak ditemukan"))</f>
        <v/>
      </c>
      <c r="G592" s="15" t="n"/>
      <c r="H592" s="17" t="n"/>
      <c r="I592" s="17" t="n"/>
      <c r="J592" s="13">
        <f>IF($B592="","",MONTH($B592))</f>
        <v/>
      </c>
      <c r="K592" s="13">
        <f>IF($B592="","",YEAR($B592))</f>
        <v/>
      </c>
    </row>
    <row r="593">
      <c r="A593" s="18">
        <f>IF($B593="","",ROW()-9)</f>
        <v/>
      </c>
      <c r="B593" s="19" t="n"/>
      <c r="C593" s="4" t="n"/>
      <c r="D593" s="4" t="n"/>
      <c r="E593" s="4" t="n"/>
      <c r="F593" s="4">
        <f>IF($E593="","",IFERROR(VLOOKUP($E593,AKUN!$A$2:$B$200,2,FALSE),"Kode tidak ditemukan"))</f>
        <v/>
      </c>
      <c r="G593" s="4" t="n"/>
      <c r="H593" s="9" t="n"/>
      <c r="I593" s="9" t="n"/>
      <c r="J593" s="18">
        <f>IF($B593="","",MONTH($B593))</f>
        <v/>
      </c>
      <c r="K593" s="18">
        <f>IF($B593="","",YEAR($B593))</f>
        <v/>
      </c>
    </row>
    <row r="594">
      <c r="A594" s="13">
        <f>IF($B594="","",ROW()-9)</f>
        <v/>
      </c>
      <c r="B594" s="14" t="n"/>
      <c r="C594" s="15" t="n"/>
      <c r="D594" s="15" t="n"/>
      <c r="E594" s="15" t="n"/>
      <c r="F594" s="15">
        <f>IF($E594="","",IFERROR(VLOOKUP($E594,AKUN!$A$2:$B$200,2,FALSE),"Kode tidak ditemukan"))</f>
        <v/>
      </c>
      <c r="G594" s="15" t="n"/>
      <c r="H594" s="17" t="n"/>
      <c r="I594" s="17" t="n"/>
      <c r="J594" s="13">
        <f>IF($B594="","",MONTH($B594))</f>
        <v/>
      </c>
      <c r="K594" s="13">
        <f>IF($B594="","",YEAR($B594))</f>
        <v/>
      </c>
    </row>
    <row r="595">
      <c r="A595" s="18">
        <f>IF($B595="","",ROW()-9)</f>
        <v/>
      </c>
      <c r="B595" s="19" t="n"/>
      <c r="C595" s="4" t="n"/>
      <c r="D595" s="4" t="n"/>
      <c r="E595" s="4" t="n"/>
      <c r="F595" s="4">
        <f>IF($E595="","",IFERROR(VLOOKUP($E595,AKUN!$A$2:$B$200,2,FALSE),"Kode tidak ditemukan"))</f>
        <v/>
      </c>
      <c r="G595" s="4" t="n"/>
      <c r="H595" s="9" t="n"/>
      <c r="I595" s="9" t="n"/>
      <c r="J595" s="18">
        <f>IF($B595="","",MONTH($B595))</f>
        <v/>
      </c>
      <c r="K595" s="18">
        <f>IF($B595="","",YEAR($B595))</f>
        <v/>
      </c>
    </row>
    <row r="596">
      <c r="A596" s="13">
        <f>IF($B596="","",ROW()-9)</f>
        <v/>
      </c>
      <c r="B596" s="14" t="n"/>
      <c r="C596" s="15" t="n"/>
      <c r="D596" s="15" t="n"/>
      <c r="E596" s="15" t="n"/>
      <c r="F596" s="15">
        <f>IF($E596="","",IFERROR(VLOOKUP($E596,AKUN!$A$2:$B$200,2,FALSE),"Kode tidak ditemukan"))</f>
        <v/>
      </c>
      <c r="G596" s="15" t="n"/>
      <c r="H596" s="17" t="n"/>
      <c r="I596" s="17" t="n"/>
      <c r="J596" s="13">
        <f>IF($B596="","",MONTH($B596))</f>
        <v/>
      </c>
      <c r="K596" s="13">
        <f>IF($B596="","",YEAR($B596))</f>
        <v/>
      </c>
    </row>
    <row r="597">
      <c r="A597" s="18">
        <f>IF($B597="","",ROW()-9)</f>
        <v/>
      </c>
      <c r="B597" s="19" t="n"/>
      <c r="C597" s="4" t="n"/>
      <c r="D597" s="4" t="n"/>
      <c r="E597" s="4" t="n"/>
      <c r="F597" s="4">
        <f>IF($E597="","",IFERROR(VLOOKUP($E597,AKUN!$A$2:$B$200,2,FALSE),"Kode tidak ditemukan"))</f>
        <v/>
      </c>
      <c r="G597" s="4" t="n"/>
      <c r="H597" s="9" t="n"/>
      <c r="I597" s="9" t="n"/>
      <c r="J597" s="18">
        <f>IF($B597="","",MONTH($B597))</f>
        <v/>
      </c>
      <c r="K597" s="18">
        <f>IF($B597="","",YEAR($B597))</f>
        <v/>
      </c>
    </row>
    <row r="598">
      <c r="A598" s="13">
        <f>IF($B598="","",ROW()-9)</f>
        <v/>
      </c>
      <c r="B598" s="14" t="n"/>
      <c r="C598" s="15" t="n"/>
      <c r="D598" s="15" t="n"/>
      <c r="E598" s="15" t="n"/>
      <c r="F598" s="15">
        <f>IF($E598="","",IFERROR(VLOOKUP($E598,AKUN!$A$2:$B$200,2,FALSE),"Kode tidak ditemukan"))</f>
        <v/>
      </c>
      <c r="G598" s="15" t="n"/>
      <c r="H598" s="17" t="n"/>
      <c r="I598" s="17" t="n"/>
      <c r="J598" s="13">
        <f>IF($B598="","",MONTH($B598))</f>
        <v/>
      </c>
      <c r="K598" s="13">
        <f>IF($B598="","",YEAR($B598))</f>
        <v/>
      </c>
    </row>
    <row r="599">
      <c r="A599" s="18">
        <f>IF($B599="","",ROW()-9)</f>
        <v/>
      </c>
      <c r="B599" s="19" t="n"/>
      <c r="C599" s="4" t="n"/>
      <c r="D599" s="4" t="n"/>
      <c r="E599" s="4" t="n"/>
      <c r="F599" s="4">
        <f>IF($E599="","",IFERROR(VLOOKUP($E599,AKUN!$A$2:$B$200,2,FALSE),"Kode tidak ditemukan"))</f>
        <v/>
      </c>
      <c r="G599" s="4" t="n"/>
      <c r="H599" s="9" t="n"/>
      <c r="I599" s="9" t="n"/>
      <c r="J599" s="18">
        <f>IF($B599="","",MONTH($B599))</f>
        <v/>
      </c>
      <c r="K599" s="18">
        <f>IF($B599="","",YEAR($B599))</f>
        <v/>
      </c>
    </row>
    <row r="600">
      <c r="A600" s="13">
        <f>IF($B600="","",ROW()-9)</f>
        <v/>
      </c>
      <c r="B600" s="14" t="n"/>
      <c r="C600" s="15" t="n"/>
      <c r="D600" s="15" t="n"/>
      <c r="E600" s="15" t="n"/>
      <c r="F600" s="15">
        <f>IF($E600="","",IFERROR(VLOOKUP($E600,AKUN!$A$2:$B$200,2,FALSE),"Kode tidak ditemukan"))</f>
        <v/>
      </c>
      <c r="G600" s="15" t="n"/>
      <c r="H600" s="17" t="n"/>
      <c r="I600" s="17" t="n"/>
      <c r="J600" s="13">
        <f>IF($B600="","",MONTH($B600))</f>
        <v/>
      </c>
      <c r="K600" s="13">
        <f>IF($B600="","",YEAR($B600))</f>
        <v/>
      </c>
    </row>
    <row r="601">
      <c r="A601" s="18">
        <f>IF($B601="","",ROW()-9)</f>
        <v/>
      </c>
      <c r="B601" s="19" t="n"/>
      <c r="C601" s="4" t="n"/>
      <c r="D601" s="4" t="n"/>
      <c r="E601" s="4" t="n"/>
      <c r="F601" s="4">
        <f>IF($E601="","",IFERROR(VLOOKUP($E601,AKUN!$A$2:$B$200,2,FALSE),"Kode tidak ditemukan"))</f>
        <v/>
      </c>
      <c r="G601" s="4" t="n"/>
      <c r="H601" s="9" t="n"/>
      <c r="I601" s="9" t="n"/>
      <c r="J601" s="18">
        <f>IF($B601="","",MONTH($B601))</f>
        <v/>
      </c>
      <c r="K601" s="18">
        <f>IF($B601="","",YEAR($B601))</f>
        <v/>
      </c>
    </row>
    <row r="602">
      <c r="A602" s="13">
        <f>IF($B602="","",ROW()-9)</f>
        <v/>
      </c>
      <c r="B602" s="14" t="n"/>
      <c r="C602" s="15" t="n"/>
      <c r="D602" s="15" t="n"/>
      <c r="E602" s="15" t="n"/>
      <c r="F602" s="15">
        <f>IF($E602="","",IFERROR(VLOOKUP($E602,AKUN!$A$2:$B$200,2,FALSE),"Kode tidak ditemukan"))</f>
        <v/>
      </c>
      <c r="G602" s="15" t="n"/>
      <c r="H602" s="17" t="n"/>
      <c r="I602" s="17" t="n"/>
      <c r="J602" s="13">
        <f>IF($B602="","",MONTH($B602))</f>
        <v/>
      </c>
      <c r="K602" s="13">
        <f>IF($B602="","",YEAR($B602))</f>
        <v/>
      </c>
    </row>
    <row r="603">
      <c r="A603" s="18">
        <f>IF($B603="","",ROW()-9)</f>
        <v/>
      </c>
      <c r="B603" s="19" t="n"/>
      <c r="C603" s="4" t="n"/>
      <c r="D603" s="4" t="n"/>
      <c r="E603" s="4" t="n"/>
      <c r="F603" s="4">
        <f>IF($E603="","",IFERROR(VLOOKUP($E603,AKUN!$A$2:$B$200,2,FALSE),"Kode tidak ditemukan"))</f>
        <v/>
      </c>
      <c r="G603" s="4" t="n"/>
      <c r="H603" s="9" t="n"/>
      <c r="I603" s="9" t="n"/>
      <c r="J603" s="18">
        <f>IF($B603="","",MONTH($B603))</f>
        <v/>
      </c>
      <c r="K603" s="18">
        <f>IF($B603="","",YEAR($B603))</f>
        <v/>
      </c>
    </row>
    <row r="604">
      <c r="A604" s="13">
        <f>IF($B604="","",ROW()-9)</f>
        <v/>
      </c>
      <c r="B604" s="14" t="n"/>
      <c r="C604" s="15" t="n"/>
      <c r="D604" s="15" t="n"/>
      <c r="E604" s="15" t="n"/>
      <c r="F604" s="15">
        <f>IF($E604="","",IFERROR(VLOOKUP($E604,AKUN!$A$2:$B$200,2,FALSE),"Kode tidak ditemukan"))</f>
        <v/>
      </c>
      <c r="G604" s="15" t="n"/>
      <c r="H604" s="17" t="n"/>
      <c r="I604" s="17" t="n"/>
      <c r="J604" s="13">
        <f>IF($B604="","",MONTH($B604))</f>
        <v/>
      </c>
      <c r="K604" s="13">
        <f>IF($B604="","",YEAR($B604))</f>
        <v/>
      </c>
    </row>
    <row r="605">
      <c r="A605" s="18">
        <f>IF($B605="","",ROW()-9)</f>
        <v/>
      </c>
      <c r="B605" s="19" t="n"/>
      <c r="C605" s="4" t="n"/>
      <c r="D605" s="4" t="n"/>
      <c r="E605" s="4" t="n"/>
      <c r="F605" s="4">
        <f>IF($E605="","",IFERROR(VLOOKUP($E605,AKUN!$A$2:$B$200,2,FALSE),"Kode tidak ditemukan"))</f>
        <v/>
      </c>
      <c r="G605" s="4" t="n"/>
      <c r="H605" s="9" t="n"/>
      <c r="I605" s="9" t="n"/>
      <c r="J605" s="18">
        <f>IF($B605="","",MONTH($B605))</f>
        <v/>
      </c>
      <c r="K605" s="18">
        <f>IF($B605="","",YEAR($B605))</f>
        <v/>
      </c>
    </row>
    <row r="606">
      <c r="A606" s="13">
        <f>IF($B606="","",ROW()-9)</f>
        <v/>
      </c>
      <c r="B606" s="14" t="n"/>
      <c r="C606" s="15" t="n"/>
      <c r="D606" s="15" t="n"/>
      <c r="E606" s="15" t="n"/>
      <c r="F606" s="15">
        <f>IF($E606="","",IFERROR(VLOOKUP($E606,AKUN!$A$2:$B$200,2,FALSE),"Kode tidak ditemukan"))</f>
        <v/>
      </c>
      <c r="G606" s="15" t="n"/>
      <c r="H606" s="17" t="n"/>
      <c r="I606" s="17" t="n"/>
      <c r="J606" s="13">
        <f>IF($B606="","",MONTH($B606))</f>
        <v/>
      </c>
      <c r="K606" s="13">
        <f>IF($B606="","",YEAR($B606))</f>
        <v/>
      </c>
    </row>
    <row r="607">
      <c r="A607" s="18">
        <f>IF($B607="","",ROW()-9)</f>
        <v/>
      </c>
      <c r="B607" s="19" t="n"/>
      <c r="C607" s="4" t="n"/>
      <c r="D607" s="4" t="n"/>
      <c r="E607" s="4" t="n"/>
      <c r="F607" s="4">
        <f>IF($E607="","",IFERROR(VLOOKUP($E607,AKUN!$A$2:$B$200,2,FALSE),"Kode tidak ditemukan"))</f>
        <v/>
      </c>
      <c r="G607" s="4" t="n"/>
      <c r="H607" s="9" t="n"/>
      <c r="I607" s="9" t="n"/>
      <c r="J607" s="18">
        <f>IF($B607="","",MONTH($B607))</f>
        <v/>
      </c>
      <c r="K607" s="18">
        <f>IF($B607="","",YEAR($B607))</f>
        <v/>
      </c>
    </row>
    <row r="608">
      <c r="A608" s="13">
        <f>IF($B608="","",ROW()-9)</f>
        <v/>
      </c>
      <c r="B608" s="14" t="n"/>
      <c r="C608" s="15" t="n"/>
      <c r="D608" s="15" t="n"/>
      <c r="E608" s="15" t="n"/>
      <c r="F608" s="15">
        <f>IF($E608="","",IFERROR(VLOOKUP($E608,AKUN!$A$2:$B$200,2,FALSE),"Kode tidak ditemukan"))</f>
        <v/>
      </c>
      <c r="G608" s="15" t="n"/>
      <c r="H608" s="17" t="n"/>
      <c r="I608" s="17" t="n"/>
      <c r="J608" s="13">
        <f>IF($B608="","",MONTH($B608))</f>
        <v/>
      </c>
      <c r="K608" s="13">
        <f>IF($B608="","",YEAR($B608))</f>
        <v/>
      </c>
    </row>
    <row r="609">
      <c r="A609" s="18">
        <f>IF($B609="","",ROW()-9)</f>
        <v/>
      </c>
      <c r="B609" s="19" t="n"/>
      <c r="C609" s="4" t="n"/>
      <c r="D609" s="4" t="n"/>
      <c r="E609" s="4" t="n"/>
      <c r="F609" s="4">
        <f>IF($E609="","",IFERROR(VLOOKUP($E609,AKUN!$A$2:$B$200,2,FALSE),"Kode tidak ditemukan"))</f>
        <v/>
      </c>
      <c r="G609" s="4" t="n"/>
      <c r="H609" s="9" t="n"/>
      <c r="I609" s="9" t="n"/>
      <c r="J609" s="18">
        <f>IF($B609="","",MONTH($B609))</f>
        <v/>
      </c>
      <c r="K609" s="18">
        <f>IF($B609="","",YEAR($B609))</f>
        <v/>
      </c>
    </row>
    <row r="610">
      <c r="A610" s="13">
        <f>IF($B610="","",ROW()-9)</f>
        <v/>
      </c>
      <c r="B610" s="14" t="n"/>
      <c r="C610" s="15" t="n"/>
      <c r="D610" s="15" t="n"/>
      <c r="E610" s="15" t="n"/>
      <c r="F610" s="15">
        <f>IF($E610="","",IFERROR(VLOOKUP($E610,AKUN!$A$2:$B$200,2,FALSE),"Kode tidak ditemukan"))</f>
        <v/>
      </c>
      <c r="G610" s="15" t="n"/>
      <c r="H610" s="17" t="n"/>
      <c r="I610" s="17" t="n"/>
      <c r="J610" s="13">
        <f>IF($B610="","",MONTH($B610))</f>
        <v/>
      </c>
      <c r="K610" s="13">
        <f>IF($B610="","",YEAR($B610))</f>
        <v/>
      </c>
    </row>
    <row r="611">
      <c r="A611" s="18">
        <f>IF($B611="","",ROW()-9)</f>
        <v/>
      </c>
      <c r="B611" s="19" t="n"/>
      <c r="C611" s="4" t="n"/>
      <c r="D611" s="4" t="n"/>
      <c r="E611" s="4" t="n"/>
      <c r="F611" s="4">
        <f>IF($E611="","",IFERROR(VLOOKUP($E611,AKUN!$A$2:$B$200,2,FALSE),"Kode tidak ditemukan"))</f>
        <v/>
      </c>
      <c r="G611" s="4" t="n"/>
      <c r="H611" s="9" t="n"/>
      <c r="I611" s="9" t="n"/>
      <c r="J611" s="18">
        <f>IF($B611="","",MONTH($B611))</f>
        <v/>
      </c>
      <c r="K611" s="18">
        <f>IF($B611="","",YEAR($B611))</f>
        <v/>
      </c>
    </row>
    <row r="612">
      <c r="A612" s="13">
        <f>IF($B612="","",ROW()-9)</f>
        <v/>
      </c>
      <c r="B612" s="14" t="n"/>
      <c r="C612" s="15" t="n"/>
      <c r="D612" s="15" t="n"/>
      <c r="E612" s="15" t="n"/>
      <c r="F612" s="15">
        <f>IF($E612="","",IFERROR(VLOOKUP($E612,AKUN!$A$2:$B$200,2,FALSE),"Kode tidak ditemukan"))</f>
        <v/>
      </c>
      <c r="G612" s="15" t="n"/>
      <c r="H612" s="17" t="n"/>
      <c r="I612" s="17" t="n"/>
      <c r="J612" s="13">
        <f>IF($B612="","",MONTH($B612))</f>
        <v/>
      </c>
      <c r="K612" s="13">
        <f>IF($B612="","",YEAR($B612))</f>
        <v/>
      </c>
    </row>
    <row r="613">
      <c r="A613" s="18">
        <f>IF($B613="","",ROW()-9)</f>
        <v/>
      </c>
      <c r="B613" s="19" t="n"/>
      <c r="C613" s="4" t="n"/>
      <c r="D613" s="4" t="n"/>
      <c r="E613" s="4" t="n"/>
      <c r="F613" s="4">
        <f>IF($E613="","",IFERROR(VLOOKUP($E613,AKUN!$A$2:$B$200,2,FALSE),"Kode tidak ditemukan"))</f>
        <v/>
      </c>
      <c r="G613" s="4" t="n"/>
      <c r="H613" s="9" t="n"/>
      <c r="I613" s="9" t="n"/>
      <c r="J613" s="18">
        <f>IF($B613="","",MONTH($B613))</f>
        <v/>
      </c>
      <c r="K613" s="18">
        <f>IF($B613="","",YEAR($B613))</f>
        <v/>
      </c>
    </row>
    <row r="614">
      <c r="A614" s="13">
        <f>IF($B614="","",ROW()-9)</f>
        <v/>
      </c>
      <c r="B614" s="14" t="n"/>
      <c r="C614" s="15" t="n"/>
      <c r="D614" s="15" t="n"/>
      <c r="E614" s="15" t="n"/>
      <c r="F614" s="15">
        <f>IF($E614="","",IFERROR(VLOOKUP($E614,AKUN!$A$2:$B$200,2,FALSE),"Kode tidak ditemukan"))</f>
        <v/>
      </c>
      <c r="G614" s="15" t="n"/>
      <c r="H614" s="17" t="n"/>
      <c r="I614" s="17" t="n"/>
      <c r="J614" s="13">
        <f>IF($B614="","",MONTH($B614))</f>
        <v/>
      </c>
      <c r="K614" s="13">
        <f>IF($B614="","",YEAR($B614))</f>
        <v/>
      </c>
    </row>
    <row r="615">
      <c r="A615" s="18">
        <f>IF($B615="","",ROW()-9)</f>
        <v/>
      </c>
      <c r="B615" s="19" t="n"/>
      <c r="C615" s="4" t="n"/>
      <c r="D615" s="4" t="n"/>
      <c r="E615" s="4" t="n"/>
      <c r="F615" s="4">
        <f>IF($E615="","",IFERROR(VLOOKUP($E615,AKUN!$A$2:$B$200,2,FALSE),"Kode tidak ditemukan"))</f>
        <v/>
      </c>
      <c r="G615" s="4" t="n"/>
      <c r="H615" s="9" t="n"/>
      <c r="I615" s="9" t="n"/>
      <c r="J615" s="18">
        <f>IF($B615="","",MONTH($B615))</f>
        <v/>
      </c>
      <c r="K615" s="18">
        <f>IF($B615="","",YEAR($B615))</f>
        <v/>
      </c>
    </row>
    <row r="616">
      <c r="A616" s="13">
        <f>IF($B616="","",ROW()-9)</f>
        <v/>
      </c>
      <c r="B616" s="14" t="n"/>
      <c r="C616" s="15" t="n"/>
      <c r="D616" s="15" t="n"/>
      <c r="E616" s="15" t="n"/>
      <c r="F616" s="15">
        <f>IF($E616="","",IFERROR(VLOOKUP($E616,AKUN!$A$2:$B$200,2,FALSE),"Kode tidak ditemukan"))</f>
        <v/>
      </c>
      <c r="G616" s="15" t="n"/>
      <c r="H616" s="17" t="n"/>
      <c r="I616" s="17" t="n"/>
      <c r="J616" s="13">
        <f>IF($B616="","",MONTH($B616))</f>
        <v/>
      </c>
      <c r="K616" s="13">
        <f>IF($B616="","",YEAR($B616))</f>
        <v/>
      </c>
    </row>
    <row r="617">
      <c r="A617" s="18">
        <f>IF($B617="","",ROW()-9)</f>
        <v/>
      </c>
      <c r="B617" s="19" t="n"/>
      <c r="C617" s="4" t="n"/>
      <c r="D617" s="4" t="n"/>
      <c r="E617" s="4" t="n"/>
      <c r="F617" s="4">
        <f>IF($E617="","",IFERROR(VLOOKUP($E617,AKUN!$A$2:$B$200,2,FALSE),"Kode tidak ditemukan"))</f>
        <v/>
      </c>
      <c r="G617" s="4" t="n"/>
      <c r="H617" s="9" t="n"/>
      <c r="I617" s="9" t="n"/>
      <c r="J617" s="18">
        <f>IF($B617="","",MONTH($B617))</f>
        <v/>
      </c>
      <c r="K617" s="18">
        <f>IF($B617="","",YEAR($B617))</f>
        <v/>
      </c>
    </row>
    <row r="618">
      <c r="A618" s="13">
        <f>IF($B618="","",ROW()-9)</f>
        <v/>
      </c>
      <c r="B618" s="14" t="n"/>
      <c r="C618" s="15" t="n"/>
      <c r="D618" s="15" t="n"/>
      <c r="E618" s="15" t="n"/>
      <c r="F618" s="15">
        <f>IF($E618="","",IFERROR(VLOOKUP($E618,AKUN!$A$2:$B$200,2,FALSE),"Kode tidak ditemukan"))</f>
        <v/>
      </c>
      <c r="G618" s="15" t="n"/>
      <c r="H618" s="17" t="n"/>
      <c r="I618" s="17" t="n"/>
      <c r="J618" s="13">
        <f>IF($B618="","",MONTH($B618))</f>
        <v/>
      </c>
      <c r="K618" s="13">
        <f>IF($B618="","",YEAR($B618))</f>
        <v/>
      </c>
    </row>
    <row r="619">
      <c r="A619" s="18">
        <f>IF($B619="","",ROW()-9)</f>
        <v/>
      </c>
      <c r="B619" s="19" t="n"/>
      <c r="C619" s="4" t="n"/>
      <c r="D619" s="4" t="n"/>
      <c r="E619" s="4" t="n"/>
      <c r="F619" s="4">
        <f>IF($E619="","",IFERROR(VLOOKUP($E619,AKUN!$A$2:$B$200,2,FALSE),"Kode tidak ditemukan"))</f>
        <v/>
      </c>
      <c r="G619" s="4" t="n"/>
      <c r="H619" s="9" t="n"/>
      <c r="I619" s="9" t="n"/>
      <c r="J619" s="18">
        <f>IF($B619="","",MONTH($B619))</f>
        <v/>
      </c>
      <c r="K619" s="18">
        <f>IF($B619="","",YEAR($B619))</f>
        <v/>
      </c>
    </row>
    <row r="620">
      <c r="A620" s="13">
        <f>IF($B620="","",ROW()-9)</f>
        <v/>
      </c>
      <c r="B620" s="14" t="n"/>
      <c r="C620" s="15" t="n"/>
      <c r="D620" s="15" t="n"/>
      <c r="E620" s="15" t="n"/>
      <c r="F620" s="15">
        <f>IF($E620="","",IFERROR(VLOOKUP($E620,AKUN!$A$2:$B$200,2,FALSE),"Kode tidak ditemukan"))</f>
        <v/>
      </c>
      <c r="G620" s="15" t="n"/>
      <c r="H620" s="17" t="n"/>
      <c r="I620" s="17" t="n"/>
      <c r="J620" s="13">
        <f>IF($B620="","",MONTH($B620))</f>
        <v/>
      </c>
      <c r="K620" s="13">
        <f>IF($B620="","",YEAR($B620))</f>
        <v/>
      </c>
    </row>
    <row r="621">
      <c r="A621" s="18">
        <f>IF($B621="","",ROW()-9)</f>
        <v/>
      </c>
      <c r="B621" s="19" t="n"/>
      <c r="C621" s="4" t="n"/>
      <c r="D621" s="4" t="n"/>
      <c r="E621" s="4" t="n"/>
      <c r="F621" s="4">
        <f>IF($E621="","",IFERROR(VLOOKUP($E621,AKUN!$A$2:$B$200,2,FALSE),"Kode tidak ditemukan"))</f>
        <v/>
      </c>
      <c r="G621" s="4" t="n"/>
      <c r="H621" s="9" t="n"/>
      <c r="I621" s="9" t="n"/>
      <c r="J621" s="18">
        <f>IF($B621="","",MONTH($B621))</f>
        <v/>
      </c>
      <c r="K621" s="18">
        <f>IF($B621="","",YEAR($B621))</f>
        <v/>
      </c>
    </row>
    <row r="622">
      <c r="A622" s="13">
        <f>IF($B622="","",ROW()-9)</f>
        <v/>
      </c>
      <c r="B622" s="14" t="n"/>
      <c r="C622" s="15" t="n"/>
      <c r="D622" s="15" t="n"/>
      <c r="E622" s="15" t="n"/>
      <c r="F622" s="15">
        <f>IF($E622="","",IFERROR(VLOOKUP($E622,AKUN!$A$2:$B$200,2,FALSE),"Kode tidak ditemukan"))</f>
        <v/>
      </c>
      <c r="G622" s="15" t="n"/>
      <c r="H622" s="17" t="n"/>
      <c r="I622" s="17" t="n"/>
      <c r="J622" s="13">
        <f>IF($B622="","",MONTH($B622))</f>
        <v/>
      </c>
      <c r="K622" s="13">
        <f>IF($B622="","",YEAR($B622))</f>
        <v/>
      </c>
    </row>
    <row r="623">
      <c r="A623" s="18">
        <f>IF($B623="","",ROW()-9)</f>
        <v/>
      </c>
      <c r="B623" s="19" t="n"/>
      <c r="C623" s="4" t="n"/>
      <c r="D623" s="4" t="n"/>
      <c r="E623" s="4" t="n"/>
      <c r="F623" s="4">
        <f>IF($E623="","",IFERROR(VLOOKUP($E623,AKUN!$A$2:$B$200,2,FALSE),"Kode tidak ditemukan"))</f>
        <v/>
      </c>
      <c r="G623" s="4" t="n"/>
      <c r="H623" s="9" t="n"/>
      <c r="I623" s="9" t="n"/>
      <c r="J623" s="18">
        <f>IF($B623="","",MONTH($B623))</f>
        <v/>
      </c>
      <c r="K623" s="18">
        <f>IF($B623="","",YEAR($B623))</f>
        <v/>
      </c>
    </row>
    <row r="624">
      <c r="A624" s="13">
        <f>IF($B624="","",ROW()-9)</f>
        <v/>
      </c>
      <c r="B624" s="14" t="n"/>
      <c r="C624" s="15" t="n"/>
      <c r="D624" s="15" t="n"/>
      <c r="E624" s="15" t="n"/>
      <c r="F624" s="15">
        <f>IF($E624="","",IFERROR(VLOOKUP($E624,AKUN!$A$2:$B$200,2,FALSE),"Kode tidak ditemukan"))</f>
        <v/>
      </c>
      <c r="G624" s="15" t="n"/>
      <c r="H624" s="17" t="n"/>
      <c r="I624" s="17" t="n"/>
      <c r="J624" s="13">
        <f>IF($B624="","",MONTH($B624))</f>
        <v/>
      </c>
      <c r="K624" s="13">
        <f>IF($B624="","",YEAR($B624))</f>
        <v/>
      </c>
    </row>
    <row r="625">
      <c r="A625" s="18">
        <f>IF($B625="","",ROW()-9)</f>
        <v/>
      </c>
      <c r="B625" s="19" t="n"/>
      <c r="C625" s="4" t="n"/>
      <c r="D625" s="4" t="n"/>
      <c r="E625" s="4" t="n"/>
      <c r="F625" s="4">
        <f>IF($E625="","",IFERROR(VLOOKUP($E625,AKUN!$A$2:$B$200,2,FALSE),"Kode tidak ditemukan"))</f>
        <v/>
      </c>
      <c r="G625" s="4" t="n"/>
      <c r="H625" s="9" t="n"/>
      <c r="I625" s="9" t="n"/>
      <c r="J625" s="18">
        <f>IF($B625="","",MONTH($B625))</f>
        <v/>
      </c>
      <c r="K625" s="18">
        <f>IF($B625="","",YEAR($B625))</f>
        <v/>
      </c>
    </row>
    <row r="626">
      <c r="A626" s="13">
        <f>IF($B626="","",ROW()-9)</f>
        <v/>
      </c>
      <c r="B626" s="14" t="n"/>
      <c r="C626" s="15" t="n"/>
      <c r="D626" s="15" t="n"/>
      <c r="E626" s="15" t="n"/>
      <c r="F626" s="15">
        <f>IF($E626="","",IFERROR(VLOOKUP($E626,AKUN!$A$2:$B$200,2,FALSE),"Kode tidak ditemukan"))</f>
        <v/>
      </c>
      <c r="G626" s="15" t="n"/>
      <c r="H626" s="17" t="n"/>
      <c r="I626" s="17" t="n"/>
      <c r="J626" s="13">
        <f>IF($B626="","",MONTH($B626))</f>
        <v/>
      </c>
      <c r="K626" s="13">
        <f>IF($B626="","",YEAR($B626))</f>
        <v/>
      </c>
    </row>
    <row r="627">
      <c r="A627" s="18">
        <f>IF($B627="","",ROW()-9)</f>
        <v/>
      </c>
      <c r="B627" s="19" t="n"/>
      <c r="C627" s="4" t="n"/>
      <c r="D627" s="4" t="n"/>
      <c r="E627" s="4" t="n"/>
      <c r="F627" s="4">
        <f>IF($E627="","",IFERROR(VLOOKUP($E627,AKUN!$A$2:$B$200,2,FALSE),"Kode tidak ditemukan"))</f>
        <v/>
      </c>
      <c r="G627" s="4" t="n"/>
      <c r="H627" s="9" t="n"/>
      <c r="I627" s="9" t="n"/>
      <c r="J627" s="18">
        <f>IF($B627="","",MONTH($B627))</f>
        <v/>
      </c>
      <c r="K627" s="18">
        <f>IF($B627="","",YEAR($B627))</f>
        <v/>
      </c>
    </row>
    <row r="628">
      <c r="A628" s="13">
        <f>IF($B628="","",ROW()-9)</f>
        <v/>
      </c>
      <c r="B628" s="14" t="n"/>
      <c r="C628" s="15" t="n"/>
      <c r="D628" s="15" t="n"/>
      <c r="E628" s="15" t="n"/>
      <c r="F628" s="15">
        <f>IF($E628="","",IFERROR(VLOOKUP($E628,AKUN!$A$2:$B$200,2,FALSE),"Kode tidak ditemukan"))</f>
        <v/>
      </c>
      <c r="G628" s="15" t="n"/>
      <c r="H628" s="17" t="n"/>
      <c r="I628" s="17" t="n"/>
      <c r="J628" s="13">
        <f>IF($B628="","",MONTH($B628))</f>
        <v/>
      </c>
      <c r="K628" s="13">
        <f>IF($B628="","",YEAR($B628))</f>
        <v/>
      </c>
    </row>
    <row r="629">
      <c r="A629" s="18">
        <f>IF($B629="","",ROW()-9)</f>
        <v/>
      </c>
      <c r="B629" s="19" t="n"/>
      <c r="C629" s="4" t="n"/>
      <c r="D629" s="4" t="n"/>
      <c r="E629" s="4" t="n"/>
      <c r="F629" s="4">
        <f>IF($E629="","",IFERROR(VLOOKUP($E629,AKUN!$A$2:$B$200,2,FALSE),"Kode tidak ditemukan"))</f>
        <v/>
      </c>
      <c r="G629" s="4" t="n"/>
      <c r="H629" s="9" t="n"/>
      <c r="I629" s="9" t="n"/>
      <c r="J629" s="18">
        <f>IF($B629="","",MONTH($B629))</f>
        <v/>
      </c>
      <c r="K629" s="18">
        <f>IF($B629="","",YEAR($B629))</f>
        <v/>
      </c>
    </row>
    <row r="630">
      <c r="A630" s="13">
        <f>IF($B630="","",ROW()-9)</f>
        <v/>
      </c>
      <c r="B630" s="14" t="n"/>
      <c r="C630" s="15" t="n"/>
      <c r="D630" s="15" t="n"/>
      <c r="E630" s="15" t="n"/>
      <c r="F630" s="15">
        <f>IF($E630="","",IFERROR(VLOOKUP($E630,AKUN!$A$2:$B$200,2,FALSE),"Kode tidak ditemukan"))</f>
        <v/>
      </c>
      <c r="G630" s="15" t="n"/>
      <c r="H630" s="17" t="n"/>
      <c r="I630" s="17" t="n"/>
      <c r="J630" s="13">
        <f>IF($B630="","",MONTH($B630))</f>
        <v/>
      </c>
      <c r="K630" s="13">
        <f>IF($B630="","",YEAR($B630))</f>
        <v/>
      </c>
    </row>
    <row r="631">
      <c r="A631" s="18">
        <f>IF($B631="","",ROW()-9)</f>
        <v/>
      </c>
      <c r="B631" s="19" t="n"/>
      <c r="C631" s="4" t="n"/>
      <c r="D631" s="4" t="n"/>
      <c r="E631" s="4" t="n"/>
      <c r="F631" s="4">
        <f>IF($E631="","",IFERROR(VLOOKUP($E631,AKUN!$A$2:$B$200,2,FALSE),"Kode tidak ditemukan"))</f>
        <v/>
      </c>
      <c r="G631" s="4" t="n"/>
      <c r="H631" s="9" t="n"/>
      <c r="I631" s="9" t="n"/>
      <c r="J631" s="18">
        <f>IF($B631="","",MONTH($B631))</f>
        <v/>
      </c>
      <c r="K631" s="18">
        <f>IF($B631="","",YEAR($B631))</f>
        <v/>
      </c>
    </row>
    <row r="632">
      <c r="A632" s="13">
        <f>IF($B632="","",ROW()-9)</f>
        <v/>
      </c>
      <c r="B632" s="14" t="n"/>
      <c r="C632" s="15" t="n"/>
      <c r="D632" s="15" t="n"/>
      <c r="E632" s="15" t="n"/>
      <c r="F632" s="15">
        <f>IF($E632="","",IFERROR(VLOOKUP($E632,AKUN!$A$2:$B$200,2,FALSE),"Kode tidak ditemukan"))</f>
        <v/>
      </c>
      <c r="G632" s="15" t="n"/>
      <c r="H632" s="17" t="n"/>
      <c r="I632" s="17" t="n"/>
      <c r="J632" s="13">
        <f>IF($B632="","",MONTH($B632))</f>
        <v/>
      </c>
      <c r="K632" s="13">
        <f>IF($B632="","",YEAR($B632))</f>
        <v/>
      </c>
    </row>
    <row r="633">
      <c r="A633" s="18">
        <f>IF($B633="","",ROW()-9)</f>
        <v/>
      </c>
      <c r="B633" s="19" t="n"/>
      <c r="C633" s="4" t="n"/>
      <c r="D633" s="4" t="n"/>
      <c r="E633" s="4" t="n"/>
      <c r="F633" s="4">
        <f>IF($E633="","",IFERROR(VLOOKUP($E633,AKUN!$A$2:$B$200,2,FALSE),"Kode tidak ditemukan"))</f>
        <v/>
      </c>
      <c r="G633" s="4" t="n"/>
      <c r="H633" s="9" t="n"/>
      <c r="I633" s="9" t="n"/>
      <c r="J633" s="18">
        <f>IF($B633="","",MONTH($B633))</f>
        <v/>
      </c>
      <c r="K633" s="18">
        <f>IF($B633="","",YEAR($B633))</f>
        <v/>
      </c>
    </row>
    <row r="634">
      <c r="A634" s="13">
        <f>IF($B634="","",ROW()-9)</f>
        <v/>
      </c>
      <c r="B634" s="14" t="n"/>
      <c r="C634" s="15" t="n"/>
      <c r="D634" s="15" t="n"/>
      <c r="E634" s="15" t="n"/>
      <c r="F634" s="15">
        <f>IF($E634="","",IFERROR(VLOOKUP($E634,AKUN!$A$2:$B$200,2,FALSE),"Kode tidak ditemukan"))</f>
        <v/>
      </c>
      <c r="G634" s="15" t="n"/>
      <c r="H634" s="17" t="n"/>
      <c r="I634" s="17" t="n"/>
      <c r="J634" s="13">
        <f>IF($B634="","",MONTH($B634))</f>
        <v/>
      </c>
      <c r="K634" s="13">
        <f>IF($B634="","",YEAR($B634))</f>
        <v/>
      </c>
    </row>
    <row r="635">
      <c r="A635" s="18">
        <f>IF($B635="","",ROW()-9)</f>
        <v/>
      </c>
      <c r="B635" s="19" t="n"/>
      <c r="C635" s="4" t="n"/>
      <c r="D635" s="4" t="n"/>
      <c r="E635" s="4" t="n"/>
      <c r="F635" s="4">
        <f>IF($E635="","",IFERROR(VLOOKUP($E635,AKUN!$A$2:$B$200,2,FALSE),"Kode tidak ditemukan"))</f>
        <v/>
      </c>
      <c r="G635" s="4" t="n"/>
      <c r="H635" s="9" t="n"/>
      <c r="I635" s="9" t="n"/>
      <c r="J635" s="18">
        <f>IF($B635="","",MONTH($B635))</f>
        <v/>
      </c>
      <c r="K635" s="18">
        <f>IF($B635="","",YEAR($B635))</f>
        <v/>
      </c>
    </row>
    <row r="636">
      <c r="A636" s="13">
        <f>IF($B636="","",ROW()-9)</f>
        <v/>
      </c>
      <c r="B636" s="14" t="n"/>
      <c r="C636" s="15" t="n"/>
      <c r="D636" s="15" t="n"/>
      <c r="E636" s="15" t="n"/>
      <c r="F636" s="15">
        <f>IF($E636="","",IFERROR(VLOOKUP($E636,AKUN!$A$2:$B$200,2,FALSE),"Kode tidak ditemukan"))</f>
        <v/>
      </c>
      <c r="G636" s="15" t="n"/>
      <c r="H636" s="17" t="n"/>
      <c r="I636" s="17" t="n"/>
      <c r="J636" s="13">
        <f>IF($B636="","",MONTH($B636))</f>
        <v/>
      </c>
      <c r="K636" s="13">
        <f>IF($B636="","",YEAR($B636))</f>
        <v/>
      </c>
    </row>
    <row r="637">
      <c r="A637" s="18">
        <f>IF($B637="","",ROW()-9)</f>
        <v/>
      </c>
      <c r="B637" s="19" t="n"/>
      <c r="C637" s="4" t="n"/>
      <c r="D637" s="4" t="n"/>
      <c r="E637" s="4" t="n"/>
      <c r="F637" s="4">
        <f>IF($E637="","",IFERROR(VLOOKUP($E637,AKUN!$A$2:$B$200,2,FALSE),"Kode tidak ditemukan"))</f>
        <v/>
      </c>
      <c r="G637" s="4" t="n"/>
      <c r="H637" s="9" t="n"/>
      <c r="I637" s="9" t="n"/>
      <c r="J637" s="18">
        <f>IF($B637="","",MONTH($B637))</f>
        <v/>
      </c>
      <c r="K637" s="18">
        <f>IF($B637="","",YEAR($B637))</f>
        <v/>
      </c>
    </row>
    <row r="638">
      <c r="A638" s="13">
        <f>IF($B638="","",ROW()-9)</f>
        <v/>
      </c>
      <c r="B638" s="14" t="n"/>
      <c r="C638" s="15" t="n"/>
      <c r="D638" s="15" t="n"/>
      <c r="E638" s="15" t="n"/>
      <c r="F638" s="15">
        <f>IF($E638="","",IFERROR(VLOOKUP($E638,AKUN!$A$2:$B$200,2,FALSE),"Kode tidak ditemukan"))</f>
        <v/>
      </c>
      <c r="G638" s="15" t="n"/>
      <c r="H638" s="17" t="n"/>
      <c r="I638" s="17" t="n"/>
      <c r="J638" s="13">
        <f>IF($B638="","",MONTH($B638))</f>
        <v/>
      </c>
      <c r="K638" s="13">
        <f>IF($B638="","",YEAR($B638))</f>
        <v/>
      </c>
    </row>
    <row r="639">
      <c r="A639" s="18">
        <f>IF($B639="","",ROW()-9)</f>
        <v/>
      </c>
      <c r="B639" s="19" t="n"/>
      <c r="C639" s="4" t="n"/>
      <c r="D639" s="4" t="n"/>
      <c r="E639" s="4" t="n"/>
      <c r="F639" s="4">
        <f>IF($E639="","",IFERROR(VLOOKUP($E639,AKUN!$A$2:$B$200,2,FALSE),"Kode tidak ditemukan"))</f>
        <v/>
      </c>
      <c r="G639" s="4" t="n"/>
      <c r="H639" s="9" t="n"/>
      <c r="I639" s="9" t="n"/>
      <c r="J639" s="18">
        <f>IF($B639="","",MONTH($B639))</f>
        <v/>
      </c>
      <c r="K639" s="18">
        <f>IF($B639="","",YEAR($B639))</f>
        <v/>
      </c>
    </row>
    <row r="640">
      <c r="A640" s="13">
        <f>IF($B640="","",ROW()-9)</f>
        <v/>
      </c>
      <c r="B640" s="14" t="n"/>
      <c r="C640" s="15" t="n"/>
      <c r="D640" s="15" t="n"/>
      <c r="E640" s="15" t="n"/>
      <c r="F640" s="15">
        <f>IF($E640="","",IFERROR(VLOOKUP($E640,AKUN!$A$2:$B$200,2,FALSE),"Kode tidak ditemukan"))</f>
        <v/>
      </c>
      <c r="G640" s="15" t="n"/>
      <c r="H640" s="17" t="n"/>
      <c r="I640" s="17" t="n"/>
      <c r="J640" s="13">
        <f>IF($B640="","",MONTH($B640))</f>
        <v/>
      </c>
      <c r="K640" s="13">
        <f>IF($B640="","",YEAR($B640))</f>
        <v/>
      </c>
    </row>
    <row r="641">
      <c r="A641" s="18">
        <f>IF($B641="","",ROW()-9)</f>
        <v/>
      </c>
      <c r="B641" s="19" t="n"/>
      <c r="C641" s="4" t="n"/>
      <c r="D641" s="4" t="n"/>
      <c r="E641" s="4" t="n"/>
      <c r="F641" s="4">
        <f>IF($E641="","",IFERROR(VLOOKUP($E641,AKUN!$A$2:$B$200,2,FALSE),"Kode tidak ditemukan"))</f>
        <v/>
      </c>
      <c r="G641" s="4" t="n"/>
      <c r="H641" s="9" t="n"/>
      <c r="I641" s="9" t="n"/>
      <c r="J641" s="18">
        <f>IF($B641="","",MONTH($B641))</f>
        <v/>
      </c>
      <c r="K641" s="18">
        <f>IF($B641="","",YEAR($B641))</f>
        <v/>
      </c>
    </row>
    <row r="642">
      <c r="A642" s="13">
        <f>IF($B642="","",ROW()-9)</f>
        <v/>
      </c>
      <c r="B642" s="14" t="n"/>
      <c r="C642" s="15" t="n"/>
      <c r="D642" s="15" t="n"/>
      <c r="E642" s="15" t="n"/>
      <c r="F642" s="15">
        <f>IF($E642="","",IFERROR(VLOOKUP($E642,AKUN!$A$2:$B$200,2,FALSE),"Kode tidak ditemukan"))</f>
        <v/>
      </c>
      <c r="G642" s="15" t="n"/>
      <c r="H642" s="17" t="n"/>
      <c r="I642" s="17" t="n"/>
      <c r="J642" s="13">
        <f>IF($B642="","",MONTH($B642))</f>
        <v/>
      </c>
      <c r="K642" s="13">
        <f>IF($B642="","",YEAR($B642))</f>
        <v/>
      </c>
    </row>
    <row r="643">
      <c r="A643" s="18">
        <f>IF($B643="","",ROW()-9)</f>
        <v/>
      </c>
      <c r="B643" s="19" t="n"/>
      <c r="C643" s="4" t="n"/>
      <c r="D643" s="4" t="n"/>
      <c r="E643" s="4" t="n"/>
      <c r="F643" s="4">
        <f>IF($E643="","",IFERROR(VLOOKUP($E643,AKUN!$A$2:$B$200,2,FALSE),"Kode tidak ditemukan"))</f>
        <v/>
      </c>
      <c r="G643" s="4" t="n"/>
      <c r="H643" s="9" t="n"/>
      <c r="I643" s="9" t="n"/>
      <c r="J643" s="18">
        <f>IF($B643="","",MONTH($B643))</f>
        <v/>
      </c>
      <c r="K643" s="18">
        <f>IF($B643="","",YEAR($B643))</f>
        <v/>
      </c>
    </row>
    <row r="644">
      <c r="A644" s="13">
        <f>IF($B644="","",ROW()-9)</f>
        <v/>
      </c>
      <c r="B644" s="14" t="n"/>
      <c r="C644" s="15" t="n"/>
      <c r="D644" s="15" t="n"/>
      <c r="E644" s="15" t="n"/>
      <c r="F644" s="15">
        <f>IF($E644="","",IFERROR(VLOOKUP($E644,AKUN!$A$2:$B$200,2,FALSE),"Kode tidak ditemukan"))</f>
        <v/>
      </c>
      <c r="G644" s="15" t="n"/>
      <c r="H644" s="17" t="n"/>
      <c r="I644" s="17" t="n"/>
      <c r="J644" s="13">
        <f>IF($B644="","",MONTH($B644))</f>
        <v/>
      </c>
      <c r="K644" s="13">
        <f>IF($B644="","",YEAR($B644))</f>
        <v/>
      </c>
    </row>
    <row r="645">
      <c r="A645" s="18">
        <f>IF($B645="","",ROW()-9)</f>
        <v/>
      </c>
      <c r="B645" s="19" t="n"/>
      <c r="C645" s="4" t="n"/>
      <c r="D645" s="4" t="n"/>
      <c r="E645" s="4" t="n"/>
      <c r="F645" s="4">
        <f>IF($E645="","",IFERROR(VLOOKUP($E645,AKUN!$A$2:$B$200,2,FALSE),"Kode tidak ditemukan"))</f>
        <v/>
      </c>
      <c r="G645" s="4" t="n"/>
      <c r="H645" s="9" t="n"/>
      <c r="I645" s="9" t="n"/>
      <c r="J645" s="18">
        <f>IF($B645="","",MONTH($B645))</f>
        <v/>
      </c>
      <c r="K645" s="18">
        <f>IF($B645="","",YEAR($B645))</f>
        <v/>
      </c>
    </row>
    <row r="646">
      <c r="A646" s="13">
        <f>IF($B646="","",ROW()-9)</f>
        <v/>
      </c>
      <c r="B646" s="14" t="n"/>
      <c r="C646" s="15" t="n"/>
      <c r="D646" s="15" t="n"/>
      <c r="E646" s="15" t="n"/>
      <c r="F646" s="15">
        <f>IF($E646="","",IFERROR(VLOOKUP($E646,AKUN!$A$2:$B$200,2,FALSE),"Kode tidak ditemukan"))</f>
        <v/>
      </c>
      <c r="G646" s="15" t="n"/>
      <c r="H646" s="17" t="n"/>
      <c r="I646" s="17" t="n"/>
      <c r="J646" s="13">
        <f>IF($B646="","",MONTH($B646))</f>
        <v/>
      </c>
      <c r="K646" s="13">
        <f>IF($B646="","",YEAR($B646))</f>
        <v/>
      </c>
    </row>
    <row r="647">
      <c r="A647" s="18">
        <f>IF($B647="","",ROW()-9)</f>
        <v/>
      </c>
      <c r="B647" s="19" t="n"/>
      <c r="C647" s="4" t="n"/>
      <c r="D647" s="4" t="n"/>
      <c r="E647" s="4" t="n"/>
      <c r="F647" s="4">
        <f>IF($E647="","",IFERROR(VLOOKUP($E647,AKUN!$A$2:$B$200,2,FALSE),"Kode tidak ditemukan"))</f>
        <v/>
      </c>
      <c r="G647" s="4" t="n"/>
      <c r="H647" s="9" t="n"/>
      <c r="I647" s="9" t="n"/>
      <c r="J647" s="18">
        <f>IF($B647="","",MONTH($B647))</f>
        <v/>
      </c>
      <c r="K647" s="18">
        <f>IF($B647="","",YEAR($B647))</f>
        <v/>
      </c>
    </row>
    <row r="648">
      <c r="A648" s="13">
        <f>IF($B648="","",ROW()-9)</f>
        <v/>
      </c>
      <c r="B648" s="14" t="n"/>
      <c r="C648" s="15" t="n"/>
      <c r="D648" s="15" t="n"/>
      <c r="E648" s="15" t="n"/>
      <c r="F648" s="15">
        <f>IF($E648="","",IFERROR(VLOOKUP($E648,AKUN!$A$2:$B$200,2,FALSE),"Kode tidak ditemukan"))</f>
        <v/>
      </c>
      <c r="G648" s="15" t="n"/>
      <c r="H648" s="17" t="n"/>
      <c r="I648" s="17" t="n"/>
      <c r="J648" s="13">
        <f>IF($B648="","",MONTH($B648))</f>
        <v/>
      </c>
      <c r="K648" s="13">
        <f>IF($B648="","",YEAR($B648))</f>
        <v/>
      </c>
    </row>
    <row r="649">
      <c r="A649" s="18">
        <f>IF($B649="","",ROW()-9)</f>
        <v/>
      </c>
      <c r="B649" s="19" t="n"/>
      <c r="C649" s="4" t="n"/>
      <c r="D649" s="4" t="n"/>
      <c r="E649" s="4" t="n"/>
      <c r="F649" s="4">
        <f>IF($E649="","",IFERROR(VLOOKUP($E649,AKUN!$A$2:$B$200,2,FALSE),"Kode tidak ditemukan"))</f>
        <v/>
      </c>
      <c r="G649" s="4" t="n"/>
      <c r="H649" s="9" t="n"/>
      <c r="I649" s="9" t="n"/>
      <c r="J649" s="18">
        <f>IF($B649="","",MONTH($B649))</f>
        <v/>
      </c>
      <c r="K649" s="18">
        <f>IF($B649="","",YEAR($B649))</f>
        <v/>
      </c>
    </row>
    <row r="650">
      <c r="A650" s="13">
        <f>IF($B650="","",ROW()-9)</f>
        <v/>
      </c>
      <c r="B650" s="14" t="n"/>
      <c r="C650" s="15" t="n"/>
      <c r="D650" s="15" t="n"/>
      <c r="E650" s="15" t="n"/>
      <c r="F650" s="15">
        <f>IF($E650="","",IFERROR(VLOOKUP($E650,AKUN!$A$2:$B$200,2,FALSE),"Kode tidak ditemukan"))</f>
        <v/>
      </c>
      <c r="G650" s="15" t="n"/>
      <c r="H650" s="17" t="n"/>
      <c r="I650" s="17" t="n"/>
      <c r="J650" s="13">
        <f>IF($B650="","",MONTH($B650))</f>
        <v/>
      </c>
      <c r="K650" s="13">
        <f>IF($B650="","",YEAR($B650))</f>
        <v/>
      </c>
    </row>
    <row r="651">
      <c r="A651" s="18">
        <f>IF($B651="","",ROW()-9)</f>
        <v/>
      </c>
      <c r="B651" s="19" t="n"/>
      <c r="C651" s="4" t="n"/>
      <c r="D651" s="4" t="n"/>
      <c r="E651" s="4" t="n"/>
      <c r="F651" s="4">
        <f>IF($E651="","",IFERROR(VLOOKUP($E651,AKUN!$A$2:$B$200,2,FALSE),"Kode tidak ditemukan"))</f>
        <v/>
      </c>
      <c r="G651" s="4" t="n"/>
      <c r="H651" s="9" t="n"/>
      <c r="I651" s="9" t="n"/>
      <c r="J651" s="18">
        <f>IF($B651="","",MONTH($B651))</f>
        <v/>
      </c>
      <c r="K651" s="18">
        <f>IF($B651="","",YEAR($B651))</f>
        <v/>
      </c>
    </row>
    <row r="652">
      <c r="A652" s="13">
        <f>IF($B652="","",ROW()-9)</f>
        <v/>
      </c>
      <c r="B652" s="14" t="n"/>
      <c r="C652" s="15" t="n"/>
      <c r="D652" s="15" t="n"/>
      <c r="E652" s="15" t="n"/>
      <c r="F652" s="15">
        <f>IF($E652="","",IFERROR(VLOOKUP($E652,AKUN!$A$2:$B$200,2,FALSE),"Kode tidak ditemukan"))</f>
        <v/>
      </c>
      <c r="G652" s="15" t="n"/>
      <c r="H652" s="17" t="n"/>
      <c r="I652" s="17" t="n"/>
      <c r="J652" s="13">
        <f>IF($B652="","",MONTH($B652))</f>
        <v/>
      </c>
      <c r="K652" s="13">
        <f>IF($B652="","",YEAR($B652))</f>
        <v/>
      </c>
    </row>
    <row r="653">
      <c r="A653" s="18">
        <f>IF($B653="","",ROW()-9)</f>
        <v/>
      </c>
      <c r="B653" s="19" t="n"/>
      <c r="C653" s="4" t="n"/>
      <c r="D653" s="4" t="n"/>
      <c r="E653" s="4" t="n"/>
      <c r="F653" s="4">
        <f>IF($E653="","",IFERROR(VLOOKUP($E653,AKUN!$A$2:$B$200,2,FALSE),"Kode tidak ditemukan"))</f>
        <v/>
      </c>
      <c r="G653" s="4" t="n"/>
      <c r="H653" s="9" t="n"/>
      <c r="I653" s="9" t="n"/>
      <c r="J653" s="18">
        <f>IF($B653="","",MONTH($B653))</f>
        <v/>
      </c>
      <c r="K653" s="18">
        <f>IF($B653="","",YEAR($B653))</f>
        <v/>
      </c>
    </row>
    <row r="654">
      <c r="A654" s="13">
        <f>IF($B654="","",ROW()-9)</f>
        <v/>
      </c>
      <c r="B654" s="14" t="n"/>
      <c r="C654" s="15" t="n"/>
      <c r="D654" s="15" t="n"/>
      <c r="E654" s="15" t="n"/>
      <c r="F654" s="15">
        <f>IF($E654="","",IFERROR(VLOOKUP($E654,AKUN!$A$2:$B$200,2,FALSE),"Kode tidak ditemukan"))</f>
        <v/>
      </c>
      <c r="G654" s="15" t="n"/>
      <c r="H654" s="17" t="n"/>
      <c r="I654" s="17" t="n"/>
      <c r="J654" s="13">
        <f>IF($B654="","",MONTH($B654))</f>
        <v/>
      </c>
      <c r="K654" s="13">
        <f>IF($B654="","",YEAR($B654))</f>
        <v/>
      </c>
    </row>
    <row r="655">
      <c r="A655" s="18">
        <f>IF($B655="","",ROW()-9)</f>
        <v/>
      </c>
      <c r="B655" s="19" t="n"/>
      <c r="C655" s="4" t="n"/>
      <c r="D655" s="4" t="n"/>
      <c r="E655" s="4" t="n"/>
      <c r="F655" s="4">
        <f>IF($E655="","",IFERROR(VLOOKUP($E655,AKUN!$A$2:$B$200,2,FALSE),"Kode tidak ditemukan"))</f>
        <v/>
      </c>
      <c r="G655" s="4" t="n"/>
      <c r="H655" s="9" t="n"/>
      <c r="I655" s="9" t="n"/>
      <c r="J655" s="18">
        <f>IF($B655="","",MONTH($B655))</f>
        <v/>
      </c>
      <c r="K655" s="18">
        <f>IF($B655="","",YEAR($B655))</f>
        <v/>
      </c>
    </row>
    <row r="656">
      <c r="A656" s="13">
        <f>IF($B656="","",ROW()-9)</f>
        <v/>
      </c>
      <c r="B656" s="14" t="n"/>
      <c r="C656" s="15" t="n"/>
      <c r="D656" s="15" t="n"/>
      <c r="E656" s="15" t="n"/>
      <c r="F656" s="15">
        <f>IF($E656="","",IFERROR(VLOOKUP($E656,AKUN!$A$2:$B$200,2,FALSE),"Kode tidak ditemukan"))</f>
        <v/>
      </c>
      <c r="G656" s="15" t="n"/>
      <c r="H656" s="17" t="n"/>
      <c r="I656" s="17" t="n"/>
      <c r="J656" s="13">
        <f>IF($B656="","",MONTH($B656))</f>
        <v/>
      </c>
      <c r="K656" s="13">
        <f>IF($B656="","",YEAR($B656))</f>
        <v/>
      </c>
    </row>
    <row r="657">
      <c r="A657" s="18">
        <f>IF($B657="","",ROW()-9)</f>
        <v/>
      </c>
      <c r="B657" s="19" t="n"/>
      <c r="C657" s="4" t="n"/>
      <c r="D657" s="4" t="n"/>
      <c r="E657" s="4" t="n"/>
      <c r="F657" s="4">
        <f>IF($E657="","",IFERROR(VLOOKUP($E657,AKUN!$A$2:$B$200,2,FALSE),"Kode tidak ditemukan"))</f>
        <v/>
      </c>
      <c r="G657" s="4" t="n"/>
      <c r="H657" s="9" t="n"/>
      <c r="I657" s="9" t="n"/>
      <c r="J657" s="18">
        <f>IF($B657="","",MONTH($B657))</f>
        <v/>
      </c>
      <c r="K657" s="18">
        <f>IF($B657="","",YEAR($B657))</f>
        <v/>
      </c>
    </row>
    <row r="658">
      <c r="A658" s="13">
        <f>IF($B658="","",ROW()-9)</f>
        <v/>
      </c>
      <c r="B658" s="14" t="n"/>
      <c r="C658" s="15" t="n"/>
      <c r="D658" s="15" t="n"/>
      <c r="E658" s="15" t="n"/>
      <c r="F658" s="15">
        <f>IF($E658="","",IFERROR(VLOOKUP($E658,AKUN!$A$2:$B$200,2,FALSE),"Kode tidak ditemukan"))</f>
        <v/>
      </c>
      <c r="G658" s="15" t="n"/>
      <c r="H658" s="17" t="n"/>
      <c r="I658" s="17" t="n"/>
      <c r="J658" s="13">
        <f>IF($B658="","",MONTH($B658))</f>
        <v/>
      </c>
      <c r="K658" s="13">
        <f>IF($B658="","",YEAR($B658))</f>
        <v/>
      </c>
    </row>
    <row r="659">
      <c r="A659" s="18">
        <f>IF($B659="","",ROW()-9)</f>
        <v/>
      </c>
      <c r="B659" s="19" t="n"/>
      <c r="C659" s="4" t="n"/>
      <c r="D659" s="4" t="n"/>
      <c r="E659" s="4" t="n"/>
      <c r="F659" s="4">
        <f>IF($E659="","",IFERROR(VLOOKUP($E659,AKUN!$A$2:$B$200,2,FALSE),"Kode tidak ditemukan"))</f>
        <v/>
      </c>
      <c r="G659" s="4" t="n"/>
      <c r="H659" s="9" t="n"/>
      <c r="I659" s="9" t="n"/>
      <c r="J659" s="18">
        <f>IF($B659="","",MONTH($B659))</f>
        <v/>
      </c>
      <c r="K659" s="18">
        <f>IF($B659="","",YEAR($B659))</f>
        <v/>
      </c>
    </row>
    <row r="660">
      <c r="A660" s="13">
        <f>IF($B660="","",ROW()-9)</f>
        <v/>
      </c>
      <c r="B660" s="14" t="n"/>
      <c r="C660" s="15" t="n"/>
      <c r="D660" s="15" t="n"/>
      <c r="E660" s="15" t="n"/>
      <c r="F660" s="15">
        <f>IF($E660="","",IFERROR(VLOOKUP($E660,AKUN!$A$2:$B$200,2,FALSE),"Kode tidak ditemukan"))</f>
        <v/>
      </c>
      <c r="G660" s="15" t="n"/>
      <c r="H660" s="17" t="n"/>
      <c r="I660" s="17" t="n"/>
      <c r="J660" s="13">
        <f>IF($B660="","",MONTH($B660))</f>
        <v/>
      </c>
      <c r="K660" s="13">
        <f>IF($B660="","",YEAR($B660))</f>
        <v/>
      </c>
    </row>
    <row r="661">
      <c r="A661" s="18">
        <f>IF($B661="","",ROW()-9)</f>
        <v/>
      </c>
      <c r="B661" s="19" t="n"/>
      <c r="C661" s="4" t="n"/>
      <c r="D661" s="4" t="n"/>
      <c r="E661" s="4" t="n"/>
      <c r="F661" s="4">
        <f>IF($E661="","",IFERROR(VLOOKUP($E661,AKUN!$A$2:$B$200,2,FALSE),"Kode tidak ditemukan"))</f>
        <v/>
      </c>
      <c r="G661" s="4" t="n"/>
      <c r="H661" s="9" t="n"/>
      <c r="I661" s="9" t="n"/>
      <c r="J661" s="18">
        <f>IF($B661="","",MONTH($B661))</f>
        <v/>
      </c>
      <c r="K661" s="18">
        <f>IF($B661="","",YEAR($B661))</f>
        <v/>
      </c>
    </row>
    <row r="662">
      <c r="A662" s="13">
        <f>IF($B662="","",ROW()-9)</f>
        <v/>
      </c>
      <c r="B662" s="14" t="n"/>
      <c r="C662" s="15" t="n"/>
      <c r="D662" s="15" t="n"/>
      <c r="E662" s="15" t="n"/>
      <c r="F662" s="15">
        <f>IF($E662="","",IFERROR(VLOOKUP($E662,AKUN!$A$2:$B$200,2,FALSE),"Kode tidak ditemukan"))</f>
        <v/>
      </c>
      <c r="G662" s="15" t="n"/>
      <c r="H662" s="17" t="n"/>
      <c r="I662" s="17" t="n"/>
      <c r="J662" s="13">
        <f>IF($B662="","",MONTH($B662))</f>
        <v/>
      </c>
      <c r="K662" s="13">
        <f>IF($B662="","",YEAR($B662))</f>
        <v/>
      </c>
    </row>
    <row r="663">
      <c r="A663" s="18">
        <f>IF($B663="","",ROW()-9)</f>
        <v/>
      </c>
      <c r="B663" s="19" t="n"/>
      <c r="C663" s="4" t="n"/>
      <c r="D663" s="4" t="n"/>
      <c r="E663" s="4" t="n"/>
      <c r="F663" s="4">
        <f>IF($E663="","",IFERROR(VLOOKUP($E663,AKUN!$A$2:$B$200,2,FALSE),"Kode tidak ditemukan"))</f>
        <v/>
      </c>
      <c r="G663" s="4" t="n"/>
      <c r="H663" s="9" t="n"/>
      <c r="I663" s="9" t="n"/>
      <c r="J663" s="18">
        <f>IF($B663="","",MONTH($B663))</f>
        <v/>
      </c>
      <c r="K663" s="18">
        <f>IF($B663="","",YEAR($B663))</f>
        <v/>
      </c>
    </row>
    <row r="664">
      <c r="A664" s="13">
        <f>IF($B664="","",ROW()-9)</f>
        <v/>
      </c>
      <c r="B664" s="14" t="n"/>
      <c r="C664" s="15" t="n"/>
      <c r="D664" s="15" t="n"/>
      <c r="E664" s="15" t="n"/>
      <c r="F664" s="15">
        <f>IF($E664="","",IFERROR(VLOOKUP($E664,AKUN!$A$2:$B$200,2,FALSE),"Kode tidak ditemukan"))</f>
        <v/>
      </c>
      <c r="G664" s="15" t="n"/>
      <c r="H664" s="17" t="n"/>
      <c r="I664" s="17" t="n"/>
      <c r="J664" s="13">
        <f>IF($B664="","",MONTH($B664))</f>
        <v/>
      </c>
      <c r="K664" s="13">
        <f>IF($B664="","",YEAR($B664))</f>
        <v/>
      </c>
    </row>
    <row r="665">
      <c r="A665" s="18">
        <f>IF($B665="","",ROW()-9)</f>
        <v/>
      </c>
      <c r="B665" s="19" t="n"/>
      <c r="C665" s="4" t="n"/>
      <c r="D665" s="4" t="n"/>
      <c r="E665" s="4" t="n"/>
      <c r="F665" s="4">
        <f>IF($E665="","",IFERROR(VLOOKUP($E665,AKUN!$A$2:$B$200,2,FALSE),"Kode tidak ditemukan"))</f>
        <v/>
      </c>
      <c r="G665" s="4" t="n"/>
      <c r="H665" s="9" t="n"/>
      <c r="I665" s="9" t="n"/>
      <c r="J665" s="18">
        <f>IF($B665="","",MONTH($B665))</f>
        <v/>
      </c>
      <c r="K665" s="18">
        <f>IF($B665="","",YEAR($B665))</f>
        <v/>
      </c>
    </row>
    <row r="666">
      <c r="A666" s="13">
        <f>IF($B666="","",ROW()-9)</f>
        <v/>
      </c>
      <c r="B666" s="14" t="n"/>
      <c r="C666" s="15" t="n"/>
      <c r="D666" s="15" t="n"/>
      <c r="E666" s="15" t="n"/>
      <c r="F666" s="15">
        <f>IF($E666="","",IFERROR(VLOOKUP($E666,AKUN!$A$2:$B$200,2,FALSE),"Kode tidak ditemukan"))</f>
        <v/>
      </c>
      <c r="G666" s="15" t="n"/>
      <c r="H666" s="17" t="n"/>
      <c r="I666" s="17" t="n"/>
      <c r="J666" s="13">
        <f>IF($B666="","",MONTH($B666))</f>
        <v/>
      </c>
      <c r="K666" s="13">
        <f>IF($B666="","",YEAR($B666))</f>
        <v/>
      </c>
    </row>
    <row r="667">
      <c r="A667" s="18">
        <f>IF($B667="","",ROW()-9)</f>
        <v/>
      </c>
      <c r="B667" s="19" t="n"/>
      <c r="C667" s="4" t="n"/>
      <c r="D667" s="4" t="n"/>
      <c r="E667" s="4" t="n"/>
      <c r="F667" s="4">
        <f>IF($E667="","",IFERROR(VLOOKUP($E667,AKUN!$A$2:$B$200,2,FALSE),"Kode tidak ditemukan"))</f>
        <v/>
      </c>
      <c r="G667" s="4" t="n"/>
      <c r="H667" s="9" t="n"/>
      <c r="I667" s="9" t="n"/>
      <c r="J667" s="18">
        <f>IF($B667="","",MONTH($B667))</f>
        <v/>
      </c>
      <c r="K667" s="18">
        <f>IF($B667="","",YEAR($B667))</f>
        <v/>
      </c>
    </row>
    <row r="668">
      <c r="A668" s="13">
        <f>IF($B668="","",ROW()-9)</f>
        <v/>
      </c>
      <c r="B668" s="14" t="n"/>
      <c r="C668" s="15" t="n"/>
      <c r="D668" s="15" t="n"/>
      <c r="E668" s="15" t="n"/>
      <c r="F668" s="15">
        <f>IF($E668="","",IFERROR(VLOOKUP($E668,AKUN!$A$2:$B$200,2,FALSE),"Kode tidak ditemukan"))</f>
        <v/>
      </c>
      <c r="G668" s="15" t="n"/>
      <c r="H668" s="17" t="n"/>
      <c r="I668" s="17" t="n"/>
      <c r="J668" s="13">
        <f>IF($B668="","",MONTH($B668))</f>
        <v/>
      </c>
      <c r="K668" s="13">
        <f>IF($B668="","",YEAR($B668))</f>
        <v/>
      </c>
    </row>
    <row r="669">
      <c r="A669" s="18">
        <f>IF($B669="","",ROW()-9)</f>
        <v/>
      </c>
      <c r="B669" s="19" t="n"/>
      <c r="C669" s="4" t="n"/>
      <c r="D669" s="4" t="n"/>
      <c r="E669" s="4" t="n"/>
      <c r="F669" s="4">
        <f>IF($E669="","",IFERROR(VLOOKUP($E669,AKUN!$A$2:$B$200,2,FALSE),"Kode tidak ditemukan"))</f>
        <v/>
      </c>
      <c r="G669" s="4" t="n"/>
      <c r="H669" s="9" t="n"/>
      <c r="I669" s="9" t="n"/>
      <c r="J669" s="18">
        <f>IF($B669="","",MONTH($B669))</f>
        <v/>
      </c>
      <c r="K669" s="18">
        <f>IF($B669="","",YEAR($B669))</f>
        <v/>
      </c>
    </row>
    <row r="670">
      <c r="A670" s="13">
        <f>IF($B670="","",ROW()-9)</f>
        <v/>
      </c>
      <c r="B670" s="14" t="n"/>
      <c r="C670" s="15" t="n"/>
      <c r="D670" s="15" t="n"/>
      <c r="E670" s="15" t="n"/>
      <c r="F670" s="15">
        <f>IF($E670="","",IFERROR(VLOOKUP($E670,AKUN!$A$2:$B$200,2,FALSE),"Kode tidak ditemukan"))</f>
        <v/>
      </c>
      <c r="G670" s="15" t="n"/>
      <c r="H670" s="17" t="n"/>
      <c r="I670" s="17" t="n"/>
      <c r="J670" s="13">
        <f>IF($B670="","",MONTH($B670))</f>
        <v/>
      </c>
      <c r="K670" s="13">
        <f>IF($B670="","",YEAR($B670))</f>
        <v/>
      </c>
    </row>
    <row r="671">
      <c r="A671" s="18">
        <f>IF($B671="","",ROW()-9)</f>
        <v/>
      </c>
      <c r="B671" s="19" t="n"/>
      <c r="C671" s="4" t="n"/>
      <c r="D671" s="4" t="n"/>
      <c r="E671" s="4" t="n"/>
      <c r="F671" s="4">
        <f>IF($E671="","",IFERROR(VLOOKUP($E671,AKUN!$A$2:$B$200,2,FALSE),"Kode tidak ditemukan"))</f>
        <v/>
      </c>
      <c r="G671" s="4" t="n"/>
      <c r="H671" s="9" t="n"/>
      <c r="I671" s="9" t="n"/>
      <c r="J671" s="18">
        <f>IF($B671="","",MONTH($B671))</f>
        <v/>
      </c>
      <c r="K671" s="18">
        <f>IF($B671="","",YEAR($B671))</f>
        <v/>
      </c>
    </row>
    <row r="672">
      <c r="A672" s="13">
        <f>IF($B672="","",ROW()-9)</f>
        <v/>
      </c>
      <c r="B672" s="14" t="n"/>
      <c r="C672" s="15" t="n"/>
      <c r="D672" s="15" t="n"/>
      <c r="E672" s="15" t="n"/>
      <c r="F672" s="15">
        <f>IF($E672="","",IFERROR(VLOOKUP($E672,AKUN!$A$2:$B$200,2,FALSE),"Kode tidak ditemukan"))</f>
        <v/>
      </c>
      <c r="G672" s="15" t="n"/>
      <c r="H672" s="17" t="n"/>
      <c r="I672" s="17" t="n"/>
      <c r="J672" s="13">
        <f>IF($B672="","",MONTH($B672))</f>
        <v/>
      </c>
      <c r="K672" s="13">
        <f>IF($B672="","",YEAR($B672))</f>
        <v/>
      </c>
    </row>
    <row r="673">
      <c r="A673" s="18">
        <f>IF($B673="","",ROW()-9)</f>
        <v/>
      </c>
      <c r="B673" s="19" t="n"/>
      <c r="C673" s="4" t="n"/>
      <c r="D673" s="4" t="n"/>
      <c r="E673" s="4" t="n"/>
      <c r="F673" s="4">
        <f>IF($E673="","",IFERROR(VLOOKUP($E673,AKUN!$A$2:$B$200,2,FALSE),"Kode tidak ditemukan"))</f>
        <v/>
      </c>
      <c r="G673" s="4" t="n"/>
      <c r="H673" s="9" t="n"/>
      <c r="I673" s="9" t="n"/>
      <c r="J673" s="18">
        <f>IF($B673="","",MONTH($B673))</f>
        <v/>
      </c>
      <c r="K673" s="18">
        <f>IF($B673="","",YEAR($B673))</f>
        <v/>
      </c>
    </row>
    <row r="674">
      <c r="A674" s="13">
        <f>IF($B674="","",ROW()-9)</f>
        <v/>
      </c>
      <c r="B674" s="14" t="n"/>
      <c r="C674" s="15" t="n"/>
      <c r="D674" s="15" t="n"/>
      <c r="E674" s="15" t="n"/>
      <c r="F674" s="15">
        <f>IF($E674="","",IFERROR(VLOOKUP($E674,AKUN!$A$2:$B$200,2,FALSE),"Kode tidak ditemukan"))</f>
        <v/>
      </c>
      <c r="G674" s="15" t="n"/>
      <c r="H674" s="17" t="n"/>
      <c r="I674" s="17" t="n"/>
      <c r="J674" s="13">
        <f>IF($B674="","",MONTH($B674))</f>
        <v/>
      </c>
      <c r="K674" s="13">
        <f>IF($B674="","",YEAR($B674))</f>
        <v/>
      </c>
    </row>
    <row r="675">
      <c r="A675" s="18">
        <f>IF($B675="","",ROW()-9)</f>
        <v/>
      </c>
      <c r="B675" s="19" t="n"/>
      <c r="C675" s="4" t="n"/>
      <c r="D675" s="4" t="n"/>
      <c r="E675" s="4" t="n"/>
      <c r="F675" s="4">
        <f>IF($E675="","",IFERROR(VLOOKUP($E675,AKUN!$A$2:$B$200,2,FALSE),"Kode tidak ditemukan"))</f>
        <v/>
      </c>
      <c r="G675" s="4" t="n"/>
      <c r="H675" s="9" t="n"/>
      <c r="I675" s="9" t="n"/>
      <c r="J675" s="18">
        <f>IF($B675="","",MONTH($B675))</f>
        <v/>
      </c>
      <c r="K675" s="18">
        <f>IF($B675="","",YEAR($B675))</f>
        <v/>
      </c>
    </row>
    <row r="676">
      <c r="A676" s="13">
        <f>IF($B676="","",ROW()-9)</f>
        <v/>
      </c>
      <c r="B676" s="14" t="n"/>
      <c r="C676" s="15" t="n"/>
      <c r="D676" s="15" t="n"/>
      <c r="E676" s="15" t="n"/>
      <c r="F676" s="15">
        <f>IF($E676="","",IFERROR(VLOOKUP($E676,AKUN!$A$2:$B$200,2,FALSE),"Kode tidak ditemukan"))</f>
        <v/>
      </c>
      <c r="G676" s="15" t="n"/>
      <c r="H676" s="17" t="n"/>
      <c r="I676" s="17" t="n"/>
      <c r="J676" s="13">
        <f>IF($B676="","",MONTH($B676))</f>
        <v/>
      </c>
      <c r="K676" s="13">
        <f>IF($B676="","",YEAR($B676))</f>
        <v/>
      </c>
    </row>
    <row r="677">
      <c r="A677" s="18">
        <f>IF($B677="","",ROW()-9)</f>
        <v/>
      </c>
      <c r="B677" s="19" t="n"/>
      <c r="C677" s="4" t="n"/>
      <c r="D677" s="4" t="n"/>
      <c r="E677" s="4" t="n"/>
      <c r="F677" s="4">
        <f>IF($E677="","",IFERROR(VLOOKUP($E677,AKUN!$A$2:$B$200,2,FALSE),"Kode tidak ditemukan"))</f>
        <v/>
      </c>
      <c r="G677" s="4" t="n"/>
      <c r="H677" s="9" t="n"/>
      <c r="I677" s="9" t="n"/>
      <c r="J677" s="18">
        <f>IF($B677="","",MONTH($B677))</f>
        <v/>
      </c>
      <c r="K677" s="18">
        <f>IF($B677="","",YEAR($B677))</f>
        <v/>
      </c>
    </row>
    <row r="678">
      <c r="A678" s="13">
        <f>IF($B678="","",ROW()-9)</f>
        <v/>
      </c>
      <c r="B678" s="14" t="n"/>
      <c r="C678" s="15" t="n"/>
      <c r="D678" s="15" t="n"/>
      <c r="E678" s="15" t="n"/>
      <c r="F678" s="15">
        <f>IF($E678="","",IFERROR(VLOOKUP($E678,AKUN!$A$2:$B$200,2,FALSE),"Kode tidak ditemukan"))</f>
        <v/>
      </c>
      <c r="G678" s="15" t="n"/>
      <c r="H678" s="17" t="n"/>
      <c r="I678" s="17" t="n"/>
      <c r="J678" s="13">
        <f>IF($B678="","",MONTH($B678))</f>
        <v/>
      </c>
      <c r="K678" s="13">
        <f>IF($B678="","",YEAR($B678))</f>
        <v/>
      </c>
    </row>
    <row r="679">
      <c r="A679" s="18">
        <f>IF($B679="","",ROW()-9)</f>
        <v/>
      </c>
      <c r="B679" s="19" t="n"/>
      <c r="C679" s="4" t="n"/>
      <c r="D679" s="4" t="n"/>
      <c r="E679" s="4" t="n"/>
      <c r="F679" s="4">
        <f>IF($E679="","",IFERROR(VLOOKUP($E679,AKUN!$A$2:$B$200,2,FALSE),"Kode tidak ditemukan"))</f>
        <v/>
      </c>
      <c r="G679" s="4" t="n"/>
      <c r="H679" s="9" t="n"/>
      <c r="I679" s="9" t="n"/>
      <c r="J679" s="18">
        <f>IF($B679="","",MONTH($B679))</f>
        <v/>
      </c>
      <c r="K679" s="18">
        <f>IF($B679="","",YEAR($B679))</f>
        <v/>
      </c>
    </row>
    <row r="680">
      <c r="A680" s="13">
        <f>IF($B680="","",ROW()-9)</f>
        <v/>
      </c>
      <c r="B680" s="14" t="n"/>
      <c r="C680" s="15" t="n"/>
      <c r="D680" s="15" t="n"/>
      <c r="E680" s="15" t="n"/>
      <c r="F680" s="15">
        <f>IF($E680="","",IFERROR(VLOOKUP($E680,AKUN!$A$2:$B$200,2,FALSE),"Kode tidak ditemukan"))</f>
        <v/>
      </c>
      <c r="G680" s="15" t="n"/>
      <c r="H680" s="17" t="n"/>
      <c r="I680" s="17" t="n"/>
      <c r="J680" s="13">
        <f>IF($B680="","",MONTH($B680))</f>
        <v/>
      </c>
      <c r="K680" s="13">
        <f>IF($B680="","",YEAR($B680))</f>
        <v/>
      </c>
    </row>
    <row r="681">
      <c r="A681" s="18">
        <f>IF($B681="","",ROW()-9)</f>
        <v/>
      </c>
      <c r="B681" s="19" t="n"/>
      <c r="C681" s="4" t="n"/>
      <c r="D681" s="4" t="n"/>
      <c r="E681" s="4" t="n"/>
      <c r="F681" s="4">
        <f>IF($E681="","",IFERROR(VLOOKUP($E681,AKUN!$A$2:$B$200,2,FALSE),"Kode tidak ditemukan"))</f>
        <v/>
      </c>
      <c r="G681" s="4" t="n"/>
      <c r="H681" s="9" t="n"/>
      <c r="I681" s="9" t="n"/>
      <c r="J681" s="18">
        <f>IF($B681="","",MONTH($B681))</f>
        <v/>
      </c>
      <c r="K681" s="18">
        <f>IF($B681="","",YEAR($B681))</f>
        <v/>
      </c>
    </row>
    <row r="682">
      <c r="A682" s="13">
        <f>IF($B682="","",ROW()-9)</f>
        <v/>
      </c>
      <c r="B682" s="14" t="n"/>
      <c r="C682" s="15" t="n"/>
      <c r="D682" s="15" t="n"/>
      <c r="E682" s="15" t="n"/>
      <c r="F682" s="15">
        <f>IF($E682="","",IFERROR(VLOOKUP($E682,AKUN!$A$2:$B$200,2,FALSE),"Kode tidak ditemukan"))</f>
        <v/>
      </c>
      <c r="G682" s="15" t="n"/>
      <c r="H682" s="17" t="n"/>
      <c r="I682" s="17" t="n"/>
      <c r="J682" s="13">
        <f>IF($B682="","",MONTH($B682))</f>
        <v/>
      </c>
      <c r="K682" s="13">
        <f>IF($B682="","",YEAR($B682))</f>
        <v/>
      </c>
    </row>
    <row r="683">
      <c r="A683" s="18">
        <f>IF($B683="","",ROW()-9)</f>
        <v/>
      </c>
      <c r="B683" s="19" t="n"/>
      <c r="C683" s="4" t="n"/>
      <c r="D683" s="4" t="n"/>
      <c r="E683" s="4" t="n"/>
      <c r="F683" s="4">
        <f>IF($E683="","",IFERROR(VLOOKUP($E683,AKUN!$A$2:$B$200,2,FALSE),"Kode tidak ditemukan"))</f>
        <v/>
      </c>
      <c r="G683" s="4" t="n"/>
      <c r="H683" s="9" t="n"/>
      <c r="I683" s="9" t="n"/>
      <c r="J683" s="18">
        <f>IF($B683="","",MONTH($B683))</f>
        <v/>
      </c>
      <c r="K683" s="18">
        <f>IF($B683="","",YEAR($B683))</f>
        <v/>
      </c>
    </row>
    <row r="684">
      <c r="A684" s="13">
        <f>IF($B684="","",ROW()-9)</f>
        <v/>
      </c>
      <c r="B684" s="14" t="n"/>
      <c r="C684" s="15" t="n"/>
      <c r="D684" s="15" t="n"/>
      <c r="E684" s="15" t="n"/>
      <c r="F684" s="15">
        <f>IF($E684="","",IFERROR(VLOOKUP($E684,AKUN!$A$2:$B$200,2,FALSE),"Kode tidak ditemukan"))</f>
        <v/>
      </c>
      <c r="G684" s="15" t="n"/>
      <c r="H684" s="17" t="n"/>
      <c r="I684" s="17" t="n"/>
      <c r="J684" s="13">
        <f>IF($B684="","",MONTH($B684))</f>
        <v/>
      </c>
      <c r="K684" s="13">
        <f>IF($B684="","",YEAR($B684))</f>
        <v/>
      </c>
    </row>
    <row r="685">
      <c r="A685" s="18">
        <f>IF($B685="","",ROW()-9)</f>
        <v/>
      </c>
      <c r="B685" s="19" t="n"/>
      <c r="C685" s="4" t="n"/>
      <c r="D685" s="4" t="n"/>
      <c r="E685" s="4" t="n"/>
      <c r="F685" s="4">
        <f>IF($E685="","",IFERROR(VLOOKUP($E685,AKUN!$A$2:$B$200,2,FALSE),"Kode tidak ditemukan"))</f>
        <v/>
      </c>
      <c r="G685" s="4" t="n"/>
      <c r="H685" s="9" t="n"/>
      <c r="I685" s="9" t="n"/>
      <c r="J685" s="18">
        <f>IF($B685="","",MONTH($B685))</f>
        <v/>
      </c>
      <c r="K685" s="18">
        <f>IF($B685="","",YEAR($B685))</f>
        <v/>
      </c>
    </row>
    <row r="686">
      <c r="A686" s="13">
        <f>IF($B686="","",ROW()-9)</f>
        <v/>
      </c>
      <c r="B686" s="14" t="n"/>
      <c r="C686" s="15" t="n"/>
      <c r="D686" s="15" t="n"/>
      <c r="E686" s="15" t="n"/>
      <c r="F686" s="15">
        <f>IF($E686="","",IFERROR(VLOOKUP($E686,AKUN!$A$2:$B$200,2,FALSE),"Kode tidak ditemukan"))</f>
        <v/>
      </c>
      <c r="G686" s="15" t="n"/>
      <c r="H686" s="17" t="n"/>
      <c r="I686" s="17" t="n"/>
      <c r="J686" s="13">
        <f>IF($B686="","",MONTH($B686))</f>
        <v/>
      </c>
      <c r="K686" s="13">
        <f>IF($B686="","",YEAR($B686))</f>
        <v/>
      </c>
    </row>
    <row r="687">
      <c r="A687" s="18">
        <f>IF($B687="","",ROW()-9)</f>
        <v/>
      </c>
      <c r="B687" s="19" t="n"/>
      <c r="C687" s="4" t="n"/>
      <c r="D687" s="4" t="n"/>
      <c r="E687" s="4" t="n"/>
      <c r="F687" s="4">
        <f>IF($E687="","",IFERROR(VLOOKUP($E687,AKUN!$A$2:$B$200,2,FALSE),"Kode tidak ditemukan"))</f>
        <v/>
      </c>
      <c r="G687" s="4" t="n"/>
      <c r="H687" s="9" t="n"/>
      <c r="I687" s="9" t="n"/>
      <c r="J687" s="18">
        <f>IF($B687="","",MONTH($B687))</f>
        <v/>
      </c>
      <c r="K687" s="18">
        <f>IF($B687="","",YEAR($B687))</f>
        <v/>
      </c>
    </row>
    <row r="688">
      <c r="A688" s="13">
        <f>IF($B688="","",ROW()-9)</f>
        <v/>
      </c>
      <c r="B688" s="14" t="n"/>
      <c r="C688" s="15" t="n"/>
      <c r="D688" s="15" t="n"/>
      <c r="E688" s="15" t="n"/>
      <c r="F688" s="15">
        <f>IF($E688="","",IFERROR(VLOOKUP($E688,AKUN!$A$2:$B$200,2,FALSE),"Kode tidak ditemukan"))</f>
        <v/>
      </c>
      <c r="G688" s="15" t="n"/>
      <c r="H688" s="17" t="n"/>
      <c r="I688" s="17" t="n"/>
      <c r="J688" s="13">
        <f>IF($B688="","",MONTH($B688))</f>
        <v/>
      </c>
      <c r="K688" s="13">
        <f>IF($B688="","",YEAR($B688))</f>
        <v/>
      </c>
    </row>
    <row r="689">
      <c r="A689" s="18">
        <f>IF($B689="","",ROW()-9)</f>
        <v/>
      </c>
      <c r="B689" s="19" t="n"/>
      <c r="C689" s="4" t="n"/>
      <c r="D689" s="4" t="n"/>
      <c r="E689" s="4" t="n"/>
      <c r="F689" s="4">
        <f>IF($E689="","",IFERROR(VLOOKUP($E689,AKUN!$A$2:$B$200,2,FALSE),"Kode tidak ditemukan"))</f>
        <v/>
      </c>
      <c r="G689" s="4" t="n"/>
      <c r="H689" s="9" t="n"/>
      <c r="I689" s="9" t="n"/>
      <c r="J689" s="18">
        <f>IF($B689="","",MONTH($B689))</f>
        <v/>
      </c>
      <c r="K689" s="18">
        <f>IF($B689="","",YEAR($B689))</f>
        <v/>
      </c>
    </row>
    <row r="690">
      <c r="A690" s="13">
        <f>IF($B690="","",ROW()-9)</f>
        <v/>
      </c>
      <c r="B690" s="14" t="n"/>
      <c r="C690" s="15" t="n"/>
      <c r="D690" s="15" t="n"/>
      <c r="E690" s="15" t="n"/>
      <c r="F690" s="15">
        <f>IF($E690="","",IFERROR(VLOOKUP($E690,AKUN!$A$2:$B$200,2,FALSE),"Kode tidak ditemukan"))</f>
        <v/>
      </c>
      <c r="G690" s="15" t="n"/>
      <c r="H690" s="17" t="n"/>
      <c r="I690" s="17" t="n"/>
      <c r="J690" s="13">
        <f>IF($B690="","",MONTH($B690))</f>
        <v/>
      </c>
      <c r="K690" s="13">
        <f>IF($B690="","",YEAR($B690))</f>
        <v/>
      </c>
    </row>
    <row r="691">
      <c r="A691" s="18">
        <f>IF($B691="","",ROW()-9)</f>
        <v/>
      </c>
      <c r="B691" s="19" t="n"/>
      <c r="C691" s="4" t="n"/>
      <c r="D691" s="4" t="n"/>
      <c r="E691" s="4" t="n"/>
      <c r="F691" s="4">
        <f>IF($E691="","",IFERROR(VLOOKUP($E691,AKUN!$A$2:$B$200,2,FALSE),"Kode tidak ditemukan"))</f>
        <v/>
      </c>
      <c r="G691" s="4" t="n"/>
      <c r="H691" s="9" t="n"/>
      <c r="I691" s="9" t="n"/>
      <c r="J691" s="18">
        <f>IF($B691="","",MONTH($B691))</f>
        <v/>
      </c>
      <c r="K691" s="18">
        <f>IF($B691="","",YEAR($B691))</f>
        <v/>
      </c>
    </row>
    <row r="692">
      <c r="A692" s="13">
        <f>IF($B692="","",ROW()-9)</f>
        <v/>
      </c>
      <c r="B692" s="14" t="n"/>
      <c r="C692" s="15" t="n"/>
      <c r="D692" s="15" t="n"/>
      <c r="E692" s="15" t="n"/>
      <c r="F692" s="15">
        <f>IF($E692="","",IFERROR(VLOOKUP($E692,AKUN!$A$2:$B$200,2,FALSE),"Kode tidak ditemukan"))</f>
        <v/>
      </c>
      <c r="G692" s="15" t="n"/>
      <c r="H692" s="17" t="n"/>
      <c r="I692" s="17" t="n"/>
      <c r="J692" s="13">
        <f>IF($B692="","",MONTH($B692))</f>
        <v/>
      </c>
      <c r="K692" s="13">
        <f>IF($B692="","",YEAR($B692))</f>
        <v/>
      </c>
    </row>
    <row r="693">
      <c r="A693" s="18">
        <f>IF($B693="","",ROW()-9)</f>
        <v/>
      </c>
      <c r="B693" s="19" t="n"/>
      <c r="C693" s="4" t="n"/>
      <c r="D693" s="4" t="n"/>
      <c r="E693" s="4" t="n"/>
      <c r="F693" s="4">
        <f>IF($E693="","",IFERROR(VLOOKUP($E693,AKUN!$A$2:$B$200,2,FALSE),"Kode tidak ditemukan"))</f>
        <v/>
      </c>
      <c r="G693" s="4" t="n"/>
      <c r="H693" s="9" t="n"/>
      <c r="I693" s="9" t="n"/>
      <c r="J693" s="18">
        <f>IF($B693="","",MONTH($B693))</f>
        <v/>
      </c>
      <c r="K693" s="18">
        <f>IF($B693="","",YEAR($B693))</f>
        <v/>
      </c>
    </row>
    <row r="694">
      <c r="A694" s="13">
        <f>IF($B694="","",ROW()-9)</f>
        <v/>
      </c>
      <c r="B694" s="14" t="n"/>
      <c r="C694" s="15" t="n"/>
      <c r="D694" s="15" t="n"/>
      <c r="E694" s="15" t="n"/>
      <c r="F694" s="15">
        <f>IF($E694="","",IFERROR(VLOOKUP($E694,AKUN!$A$2:$B$200,2,FALSE),"Kode tidak ditemukan"))</f>
        <v/>
      </c>
      <c r="G694" s="15" t="n"/>
      <c r="H694" s="17" t="n"/>
      <c r="I694" s="17" t="n"/>
      <c r="J694" s="13">
        <f>IF($B694="","",MONTH($B694))</f>
        <v/>
      </c>
      <c r="K694" s="13">
        <f>IF($B694="","",YEAR($B694))</f>
        <v/>
      </c>
    </row>
    <row r="695">
      <c r="A695" s="18">
        <f>IF($B695="","",ROW()-9)</f>
        <v/>
      </c>
      <c r="B695" s="19" t="n"/>
      <c r="C695" s="4" t="n"/>
      <c r="D695" s="4" t="n"/>
      <c r="E695" s="4" t="n"/>
      <c r="F695" s="4">
        <f>IF($E695="","",IFERROR(VLOOKUP($E695,AKUN!$A$2:$B$200,2,FALSE),"Kode tidak ditemukan"))</f>
        <v/>
      </c>
      <c r="G695" s="4" t="n"/>
      <c r="H695" s="9" t="n"/>
      <c r="I695" s="9" t="n"/>
      <c r="J695" s="18">
        <f>IF($B695="","",MONTH($B695))</f>
        <v/>
      </c>
      <c r="K695" s="18">
        <f>IF($B695="","",YEAR($B695))</f>
        <v/>
      </c>
    </row>
    <row r="696">
      <c r="A696" s="13">
        <f>IF($B696="","",ROW()-9)</f>
        <v/>
      </c>
      <c r="B696" s="14" t="n"/>
      <c r="C696" s="15" t="n"/>
      <c r="D696" s="15" t="n"/>
      <c r="E696" s="15" t="n"/>
      <c r="F696" s="15">
        <f>IF($E696="","",IFERROR(VLOOKUP($E696,AKUN!$A$2:$B$200,2,FALSE),"Kode tidak ditemukan"))</f>
        <v/>
      </c>
      <c r="G696" s="15" t="n"/>
      <c r="H696" s="17" t="n"/>
      <c r="I696" s="17" t="n"/>
      <c r="J696" s="13">
        <f>IF($B696="","",MONTH($B696))</f>
        <v/>
      </c>
      <c r="K696" s="13">
        <f>IF($B696="","",YEAR($B696))</f>
        <v/>
      </c>
    </row>
    <row r="697">
      <c r="A697" s="18">
        <f>IF($B697="","",ROW()-9)</f>
        <v/>
      </c>
      <c r="B697" s="19" t="n"/>
      <c r="C697" s="4" t="n"/>
      <c r="D697" s="4" t="n"/>
      <c r="E697" s="4" t="n"/>
      <c r="F697" s="4">
        <f>IF($E697="","",IFERROR(VLOOKUP($E697,AKUN!$A$2:$B$200,2,FALSE),"Kode tidak ditemukan"))</f>
        <v/>
      </c>
      <c r="G697" s="4" t="n"/>
      <c r="H697" s="9" t="n"/>
      <c r="I697" s="9" t="n"/>
      <c r="J697" s="18">
        <f>IF($B697="","",MONTH($B697))</f>
        <v/>
      </c>
      <c r="K697" s="18">
        <f>IF($B697="","",YEAR($B697))</f>
        <v/>
      </c>
    </row>
    <row r="698">
      <c r="A698" s="13">
        <f>IF($B698="","",ROW()-9)</f>
        <v/>
      </c>
      <c r="B698" s="14" t="n"/>
      <c r="C698" s="15" t="n"/>
      <c r="D698" s="15" t="n"/>
      <c r="E698" s="15" t="n"/>
      <c r="F698" s="15">
        <f>IF($E698="","",IFERROR(VLOOKUP($E698,AKUN!$A$2:$B$200,2,FALSE),"Kode tidak ditemukan"))</f>
        <v/>
      </c>
      <c r="G698" s="15" t="n"/>
      <c r="H698" s="17" t="n"/>
      <c r="I698" s="17" t="n"/>
      <c r="J698" s="13">
        <f>IF($B698="","",MONTH($B698))</f>
        <v/>
      </c>
      <c r="K698" s="13">
        <f>IF($B698="","",YEAR($B698))</f>
        <v/>
      </c>
    </row>
    <row r="699">
      <c r="A699" s="18">
        <f>IF($B699="","",ROW()-9)</f>
        <v/>
      </c>
      <c r="B699" s="19" t="n"/>
      <c r="C699" s="4" t="n"/>
      <c r="D699" s="4" t="n"/>
      <c r="E699" s="4" t="n"/>
      <c r="F699" s="4">
        <f>IF($E699="","",IFERROR(VLOOKUP($E699,AKUN!$A$2:$B$200,2,FALSE),"Kode tidak ditemukan"))</f>
        <v/>
      </c>
      <c r="G699" s="4" t="n"/>
      <c r="H699" s="9" t="n"/>
      <c r="I699" s="9" t="n"/>
      <c r="J699" s="18">
        <f>IF($B699="","",MONTH($B699))</f>
        <v/>
      </c>
      <c r="K699" s="18">
        <f>IF($B699="","",YEAR($B699))</f>
        <v/>
      </c>
    </row>
    <row r="700">
      <c r="A700" s="13">
        <f>IF($B700="","",ROW()-9)</f>
        <v/>
      </c>
      <c r="B700" s="14" t="n"/>
      <c r="C700" s="15" t="n"/>
      <c r="D700" s="15" t="n"/>
      <c r="E700" s="15" t="n"/>
      <c r="F700" s="15">
        <f>IF($E700="","",IFERROR(VLOOKUP($E700,AKUN!$A$2:$B$200,2,FALSE),"Kode tidak ditemukan"))</f>
        <v/>
      </c>
      <c r="G700" s="15" t="n"/>
      <c r="H700" s="17" t="n"/>
      <c r="I700" s="17" t="n"/>
      <c r="J700" s="13">
        <f>IF($B700="","",MONTH($B700))</f>
        <v/>
      </c>
      <c r="K700" s="13">
        <f>IF($B700="","",YEAR($B700))</f>
        <v/>
      </c>
    </row>
    <row r="701">
      <c r="A701" s="18">
        <f>IF($B701="","",ROW()-9)</f>
        <v/>
      </c>
      <c r="B701" s="19" t="n"/>
      <c r="C701" s="4" t="n"/>
      <c r="D701" s="4" t="n"/>
      <c r="E701" s="4" t="n"/>
      <c r="F701" s="4">
        <f>IF($E701="","",IFERROR(VLOOKUP($E701,AKUN!$A$2:$B$200,2,FALSE),"Kode tidak ditemukan"))</f>
        <v/>
      </c>
      <c r="G701" s="4" t="n"/>
      <c r="H701" s="9" t="n"/>
      <c r="I701" s="9" t="n"/>
      <c r="J701" s="18">
        <f>IF($B701="","",MONTH($B701))</f>
        <v/>
      </c>
      <c r="K701" s="18">
        <f>IF($B701="","",YEAR($B701))</f>
        <v/>
      </c>
    </row>
    <row r="702">
      <c r="A702" s="13">
        <f>IF($B702="","",ROW()-9)</f>
        <v/>
      </c>
      <c r="B702" s="14" t="n"/>
      <c r="C702" s="15" t="n"/>
      <c r="D702" s="15" t="n"/>
      <c r="E702" s="15" t="n"/>
      <c r="F702" s="15">
        <f>IF($E702="","",IFERROR(VLOOKUP($E702,AKUN!$A$2:$B$200,2,FALSE),"Kode tidak ditemukan"))</f>
        <v/>
      </c>
      <c r="G702" s="15" t="n"/>
      <c r="H702" s="17" t="n"/>
      <c r="I702" s="17" t="n"/>
      <c r="J702" s="13">
        <f>IF($B702="","",MONTH($B702))</f>
        <v/>
      </c>
      <c r="K702" s="13">
        <f>IF($B702="","",YEAR($B702))</f>
        <v/>
      </c>
    </row>
    <row r="703">
      <c r="A703" s="18">
        <f>IF($B703="","",ROW()-9)</f>
        <v/>
      </c>
      <c r="B703" s="19" t="n"/>
      <c r="C703" s="4" t="n"/>
      <c r="D703" s="4" t="n"/>
      <c r="E703" s="4" t="n"/>
      <c r="F703" s="4">
        <f>IF($E703="","",IFERROR(VLOOKUP($E703,AKUN!$A$2:$B$200,2,FALSE),"Kode tidak ditemukan"))</f>
        <v/>
      </c>
      <c r="G703" s="4" t="n"/>
      <c r="H703" s="9" t="n"/>
      <c r="I703" s="9" t="n"/>
      <c r="J703" s="18">
        <f>IF($B703="","",MONTH($B703))</f>
        <v/>
      </c>
      <c r="K703" s="18">
        <f>IF($B703="","",YEAR($B703))</f>
        <v/>
      </c>
    </row>
    <row r="704">
      <c r="A704" s="13">
        <f>IF($B704="","",ROW()-9)</f>
        <v/>
      </c>
      <c r="B704" s="14" t="n"/>
      <c r="C704" s="15" t="n"/>
      <c r="D704" s="15" t="n"/>
      <c r="E704" s="15" t="n"/>
      <c r="F704" s="15">
        <f>IF($E704="","",IFERROR(VLOOKUP($E704,AKUN!$A$2:$B$200,2,FALSE),"Kode tidak ditemukan"))</f>
        <v/>
      </c>
      <c r="G704" s="15" t="n"/>
      <c r="H704" s="17" t="n"/>
      <c r="I704" s="17" t="n"/>
      <c r="J704" s="13">
        <f>IF($B704="","",MONTH($B704))</f>
        <v/>
      </c>
      <c r="K704" s="13">
        <f>IF($B704="","",YEAR($B704))</f>
        <v/>
      </c>
    </row>
    <row r="705">
      <c r="A705" s="18">
        <f>IF($B705="","",ROW()-9)</f>
        <v/>
      </c>
      <c r="B705" s="19" t="n"/>
      <c r="C705" s="4" t="n"/>
      <c r="D705" s="4" t="n"/>
      <c r="E705" s="4" t="n"/>
      <c r="F705" s="4">
        <f>IF($E705="","",IFERROR(VLOOKUP($E705,AKUN!$A$2:$B$200,2,FALSE),"Kode tidak ditemukan"))</f>
        <v/>
      </c>
      <c r="G705" s="4" t="n"/>
      <c r="H705" s="9" t="n"/>
      <c r="I705" s="9" t="n"/>
      <c r="J705" s="18">
        <f>IF($B705="","",MONTH($B705))</f>
        <v/>
      </c>
      <c r="K705" s="18">
        <f>IF($B705="","",YEAR($B705))</f>
        <v/>
      </c>
    </row>
    <row r="706">
      <c r="A706" s="13">
        <f>IF($B706="","",ROW()-9)</f>
        <v/>
      </c>
      <c r="B706" s="14" t="n"/>
      <c r="C706" s="15" t="n"/>
      <c r="D706" s="15" t="n"/>
      <c r="E706" s="15" t="n"/>
      <c r="F706" s="15">
        <f>IF($E706="","",IFERROR(VLOOKUP($E706,AKUN!$A$2:$B$200,2,FALSE),"Kode tidak ditemukan"))</f>
        <v/>
      </c>
      <c r="G706" s="15" t="n"/>
      <c r="H706" s="17" t="n"/>
      <c r="I706" s="17" t="n"/>
      <c r="J706" s="13">
        <f>IF($B706="","",MONTH($B706))</f>
        <v/>
      </c>
      <c r="K706" s="13">
        <f>IF($B706="","",YEAR($B706))</f>
        <v/>
      </c>
    </row>
    <row r="707">
      <c r="A707" s="18">
        <f>IF($B707="","",ROW()-9)</f>
        <v/>
      </c>
      <c r="B707" s="19" t="n"/>
      <c r="C707" s="4" t="n"/>
      <c r="D707" s="4" t="n"/>
      <c r="E707" s="4" t="n"/>
      <c r="F707" s="4">
        <f>IF($E707="","",IFERROR(VLOOKUP($E707,AKUN!$A$2:$B$200,2,FALSE),"Kode tidak ditemukan"))</f>
        <v/>
      </c>
      <c r="G707" s="4" t="n"/>
      <c r="H707" s="9" t="n"/>
      <c r="I707" s="9" t="n"/>
      <c r="J707" s="18">
        <f>IF($B707="","",MONTH($B707))</f>
        <v/>
      </c>
      <c r="K707" s="18">
        <f>IF($B707="","",YEAR($B707))</f>
        <v/>
      </c>
    </row>
    <row r="708">
      <c r="A708" s="13">
        <f>IF($B708="","",ROW()-9)</f>
        <v/>
      </c>
      <c r="B708" s="14" t="n"/>
      <c r="C708" s="15" t="n"/>
      <c r="D708" s="15" t="n"/>
      <c r="E708" s="15" t="n"/>
      <c r="F708" s="15">
        <f>IF($E708="","",IFERROR(VLOOKUP($E708,AKUN!$A$2:$B$200,2,FALSE),"Kode tidak ditemukan"))</f>
        <v/>
      </c>
      <c r="G708" s="15" t="n"/>
      <c r="H708" s="17" t="n"/>
      <c r="I708" s="17" t="n"/>
      <c r="J708" s="13">
        <f>IF($B708="","",MONTH($B708))</f>
        <v/>
      </c>
      <c r="K708" s="13">
        <f>IF($B708="","",YEAR($B708))</f>
        <v/>
      </c>
    </row>
    <row r="709">
      <c r="A709" s="18">
        <f>IF($B709="","",ROW()-9)</f>
        <v/>
      </c>
      <c r="B709" s="19" t="n"/>
      <c r="C709" s="4" t="n"/>
      <c r="D709" s="4" t="n"/>
      <c r="E709" s="4" t="n"/>
      <c r="F709" s="4">
        <f>IF($E709="","",IFERROR(VLOOKUP($E709,AKUN!$A$2:$B$200,2,FALSE),"Kode tidak ditemukan"))</f>
        <v/>
      </c>
      <c r="G709" s="4" t="n"/>
      <c r="H709" s="9" t="n"/>
      <c r="I709" s="9" t="n"/>
      <c r="J709" s="18">
        <f>IF($B709="","",MONTH($B709))</f>
        <v/>
      </c>
      <c r="K709" s="18">
        <f>IF($B709="","",YEAR($B709))</f>
        <v/>
      </c>
    </row>
    <row r="710">
      <c r="A710" s="13">
        <f>IF($B710="","",ROW()-9)</f>
        <v/>
      </c>
      <c r="B710" s="14" t="n"/>
      <c r="C710" s="15" t="n"/>
      <c r="D710" s="15" t="n"/>
      <c r="E710" s="15" t="n"/>
      <c r="F710" s="15">
        <f>IF($E710="","",IFERROR(VLOOKUP($E710,AKUN!$A$2:$B$200,2,FALSE),"Kode tidak ditemukan"))</f>
        <v/>
      </c>
      <c r="G710" s="15" t="n"/>
      <c r="H710" s="17" t="n"/>
      <c r="I710" s="17" t="n"/>
      <c r="J710" s="13">
        <f>IF($B710="","",MONTH($B710))</f>
        <v/>
      </c>
      <c r="K710" s="13">
        <f>IF($B710="","",YEAR($B710))</f>
        <v/>
      </c>
    </row>
    <row r="711">
      <c r="A711" s="18">
        <f>IF($B711="","",ROW()-9)</f>
        <v/>
      </c>
      <c r="B711" s="19" t="n"/>
      <c r="C711" s="4" t="n"/>
      <c r="D711" s="4" t="n"/>
      <c r="E711" s="4" t="n"/>
      <c r="F711" s="4">
        <f>IF($E711="","",IFERROR(VLOOKUP($E711,AKUN!$A$2:$B$200,2,FALSE),"Kode tidak ditemukan"))</f>
        <v/>
      </c>
      <c r="G711" s="4" t="n"/>
      <c r="H711" s="9" t="n"/>
      <c r="I711" s="9" t="n"/>
      <c r="J711" s="18">
        <f>IF($B711="","",MONTH($B711))</f>
        <v/>
      </c>
      <c r="K711" s="18">
        <f>IF($B711="","",YEAR($B711))</f>
        <v/>
      </c>
    </row>
    <row r="712">
      <c r="A712" s="13">
        <f>IF($B712="","",ROW()-9)</f>
        <v/>
      </c>
      <c r="B712" s="14" t="n"/>
      <c r="C712" s="15" t="n"/>
      <c r="D712" s="15" t="n"/>
      <c r="E712" s="15" t="n"/>
      <c r="F712" s="15">
        <f>IF($E712="","",IFERROR(VLOOKUP($E712,AKUN!$A$2:$B$200,2,FALSE),"Kode tidak ditemukan"))</f>
        <v/>
      </c>
      <c r="G712" s="15" t="n"/>
      <c r="H712" s="17" t="n"/>
      <c r="I712" s="17" t="n"/>
      <c r="J712" s="13">
        <f>IF($B712="","",MONTH($B712))</f>
        <v/>
      </c>
      <c r="K712" s="13">
        <f>IF($B712="","",YEAR($B712))</f>
        <v/>
      </c>
    </row>
    <row r="713">
      <c r="A713" s="18">
        <f>IF($B713="","",ROW()-9)</f>
        <v/>
      </c>
      <c r="B713" s="19" t="n"/>
      <c r="C713" s="4" t="n"/>
      <c r="D713" s="4" t="n"/>
      <c r="E713" s="4" t="n"/>
      <c r="F713" s="4">
        <f>IF($E713="","",IFERROR(VLOOKUP($E713,AKUN!$A$2:$B$200,2,FALSE),"Kode tidak ditemukan"))</f>
        <v/>
      </c>
      <c r="G713" s="4" t="n"/>
      <c r="H713" s="9" t="n"/>
      <c r="I713" s="9" t="n"/>
      <c r="J713" s="18">
        <f>IF($B713="","",MONTH($B713))</f>
        <v/>
      </c>
      <c r="K713" s="18">
        <f>IF($B713="","",YEAR($B713))</f>
        <v/>
      </c>
    </row>
    <row r="714">
      <c r="A714" s="13">
        <f>IF($B714="","",ROW()-9)</f>
        <v/>
      </c>
      <c r="B714" s="14" t="n"/>
      <c r="C714" s="15" t="n"/>
      <c r="D714" s="15" t="n"/>
      <c r="E714" s="15" t="n"/>
      <c r="F714" s="15">
        <f>IF($E714="","",IFERROR(VLOOKUP($E714,AKUN!$A$2:$B$200,2,FALSE),"Kode tidak ditemukan"))</f>
        <v/>
      </c>
      <c r="G714" s="15" t="n"/>
      <c r="H714" s="17" t="n"/>
      <c r="I714" s="17" t="n"/>
      <c r="J714" s="13">
        <f>IF($B714="","",MONTH($B714))</f>
        <v/>
      </c>
      <c r="K714" s="13">
        <f>IF($B714="","",YEAR($B714))</f>
        <v/>
      </c>
    </row>
    <row r="715">
      <c r="A715" s="18">
        <f>IF($B715="","",ROW()-9)</f>
        <v/>
      </c>
      <c r="B715" s="19" t="n"/>
      <c r="C715" s="4" t="n"/>
      <c r="D715" s="4" t="n"/>
      <c r="E715" s="4" t="n"/>
      <c r="F715" s="4">
        <f>IF($E715="","",IFERROR(VLOOKUP($E715,AKUN!$A$2:$B$200,2,FALSE),"Kode tidak ditemukan"))</f>
        <v/>
      </c>
      <c r="G715" s="4" t="n"/>
      <c r="H715" s="9" t="n"/>
      <c r="I715" s="9" t="n"/>
      <c r="J715" s="18">
        <f>IF($B715="","",MONTH($B715))</f>
        <v/>
      </c>
      <c r="K715" s="18">
        <f>IF($B715="","",YEAR($B715))</f>
        <v/>
      </c>
    </row>
    <row r="716">
      <c r="A716" s="13">
        <f>IF($B716="","",ROW()-9)</f>
        <v/>
      </c>
      <c r="B716" s="14" t="n"/>
      <c r="C716" s="15" t="n"/>
      <c r="D716" s="15" t="n"/>
      <c r="E716" s="15" t="n"/>
      <c r="F716" s="15">
        <f>IF($E716="","",IFERROR(VLOOKUP($E716,AKUN!$A$2:$B$200,2,FALSE),"Kode tidak ditemukan"))</f>
        <v/>
      </c>
      <c r="G716" s="15" t="n"/>
      <c r="H716" s="17" t="n"/>
      <c r="I716" s="17" t="n"/>
      <c r="J716" s="13">
        <f>IF($B716="","",MONTH($B716))</f>
        <v/>
      </c>
      <c r="K716" s="13">
        <f>IF($B716="","",YEAR($B716))</f>
        <v/>
      </c>
    </row>
    <row r="717">
      <c r="A717" s="18">
        <f>IF($B717="","",ROW()-9)</f>
        <v/>
      </c>
      <c r="B717" s="19" t="n"/>
      <c r="C717" s="4" t="n"/>
      <c r="D717" s="4" t="n"/>
      <c r="E717" s="4" t="n"/>
      <c r="F717" s="4">
        <f>IF($E717="","",IFERROR(VLOOKUP($E717,AKUN!$A$2:$B$200,2,FALSE),"Kode tidak ditemukan"))</f>
        <v/>
      </c>
      <c r="G717" s="4" t="n"/>
      <c r="H717" s="9" t="n"/>
      <c r="I717" s="9" t="n"/>
      <c r="J717" s="18">
        <f>IF($B717="","",MONTH($B717))</f>
        <v/>
      </c>
      <c r="K717" s="18">
        <f>IF($B717="","",YEAR($B717))</f>
        <v/>
      </c>
    </row>
    <row r="718">
      <c r="A718" s="13">
        <f>IF($B718="","",ROW()-9)</f>
        <v/>
      </c>
      <c r="B718" s="14" t="n"/>
      <c r="C718" s="15" t="n"/>
      <c r="D718" s="15" t="n"/>
      <c r="E718" s="15" t="n"/>
      <c r="F718" s="15">
        <f>IF($E718="","",IFERROR(VLOOKUP($E718,AKUN!$A$2:$B$200,2,FALSE),"Kode tidak ditemukan"))</f>
        <v/>
      </c>
      <c r="G718" s="15" t="n"/>
      <c r="H718" s="17" t="n"/>
      <c r="I718" s="17" t="n"/>
      <c r="J718" s="13">
        <f>IF($B718="","",MONTH($B718))</f>
        <v/>
      </c>
      <c r="K718" s="13">
        <f>IF($B718="","",YEAR($B718))</f>
        <v/>
      </c>
    </row>
    <row r="719">
      <c r="A719" s="18">
        <f>IF($B719="","",ROW()-9)</f>
        <v/>
      </c>
      <c r="B719" s="19" t="n"/>
      <c r="C719" s="4" t="n"/>
      <c r="D719" s="4" t="n"/>
      <c r="E719" s="4" t="n"/>
      <c r="F719" s="4">
        <f>IF($E719="","",IFERROR(VLOOKUP($E719,AKUN!$A$2:$B$200,2,FALSE),"Kode tidak ditemukan"))</f>
        <v/>
      </c>
      <c r="G719" s="4" t="n"/>
      <c r="H719" s="9" t="n"/>
      <c r="I719" s="9" t="n"/>
      <c r="J719" s="18">
        <f>IF($B719="","",MONTH($B719))</f>
        <v/>
      </c>
      <c r="K719" s="18">
        <f>IF($B719="","",YEAR($B719))</f>
        <v/>
      </c>
    </row>
    <row r="720">
      <c r="A720" s="13">
        <f>IF($B720="","",ROW()-9)</f>
        <v/>
      </c>
      <c r="B720" s="14" t="n"/>
      <c r="C720" s="15" t="n"/>
      <c r="D720" s="15" t="n"/>
      <c r="E720" s="15" t="n"/>
      <c r="F720" s="15">
        <f>IF($E720="","",IFERROR(VLOOKUP($E720,AKUN!$A$2:$B$200,2,FALSE),"Kode tidak ditemukan"))</f>
        <v/>
      </c>
      <c r="G720" s="15" t="n"/>
      <c r="H720" s="17" t="n"/>
      <c r="I720" s="17" t="n"/>
      <c r="J720" s="13">
        <f>IF($B720="","",MONTH($B720))</f>
        <v/>
      </c>
      <c r="K720" s="13">
        <f>IF($B720="","",YEAR($B720))</f>
        <v/>
      </c>
    </row>
    <row r="721">
      <c r="A721" s="18">
        <f>IF($B721="","",ROW()-9)</f>
        <v/>
      </c>
      <c r="B721" s="19" t="n"/>
      <c r="C721" s="4" t="n"/>
      <c r="D721" s="4" t="n"/>
      <c r="E721" s="4" t="n"/>
      <c r="F721" s="4">
        <f>IF($E721="","",IFERROR(VLOOKUP($E721,AKUN!$A$2:$B$200,2,FALSE),"Kode tidak ditemukan"))</f>
        <v/>
      </c>
      <c r="G721" s="4" t="n"/>
      <c r="H721" s="9" t="n"/>
      <c r="I721" s="9" t="n"/>
      <c r="J721" s="18">
        <f>IF($B721="","",MONTH($B721))</f>
        <v/>
      </c>
      <c r="K721" s="18">
        <f>IF($B721="","",YEAR($B721))</f>
        <v/>
      </c>
    </row>
    <row r="722">
      <c r="A722" s="13">
        <f>IF($B722="","",ROW()-9)</f>
        <v/>
      </c>
      <c r="B722" s="14" t="n"/>
      <c r="C722" s="15" t="n"/>
      <c r="D722" s="15" t="n"/>
      <c r="E722" s="15" t="n"/>
      <c r="F722" s="15">
        <f>IF($E722="","",IFERROR(VLOOKUP($E722,AKUN!$A$2:$B$200,2,FALSE),"Kode tidak ditemukan"))</f>
        <v/>
      </c>
      <c r="G722" s="15" t="n"/>
      <c r="H722" s="17" t="n"/>
      <c r="I722" s="17" t="n"/>
      <c r="J722" s="13">
        <f>IF($B722="","",MONTH($B722))</f>
        <v/>
      </c>
      <c r="K722" s="13">
        <f>IF($B722="","",YEAR($B722))</f>
        <v/>
      </c>
    </row>
    <row r="723">
      <c r="A723" s="18">
        <f>IF($B723="","",ROW()-9)</f>
        <v/>
      </c>
      <c r="B723" s="19" t="n"/>
      <c r="C723" s="4" t="n"/>
      <c r="D723" s="4" t="n"/>
      <c r="E723" s="4" t="n"/>
      <c r="F723" s="4">
        <f>IF($E723="","",IFERROR(VLOOKUP($E723,AKUN!$A$2:$B$200,2,FALSE),"Kode tidak ditemukan"))</f>
        <v/>
      </c>
      <c r="G723" s="4" t="n"/>
      <c r="H723" s="9" t="n"/>
      <c r="I723" s="9" t="n"/>
      <c r="J723" s="18">
        <f>IF($B723="","",MONTH($B723))</f>
        <v/>
      </c>
      <c r="K723" s="18">
        <f>IF($B723="","",YEAR($B723))</f>
        <v/>
      </c>
    </row>
    <row r="724">
      <c r="A724" s="13">
        <f>IF($B724="","",ROW()-9)</f>
        <v/>
      </c>
      <c r="B724" s="14" t="n"/>
      <c r="C724" s="15" t="n"/>
      <c r="D724" s="15" t="n"/>
      <c r="E724" s="15" t="n"/>
      <c r="F724" s="15">
        <f>IF($E724="","",IFERROR(VLOOKUP($E724,AKUN!$A$2:$B$200,2,FALSE),"Kode tidak ditemukan"))</f>
        <v/>
      </c>
      <c r="G724" s="15" t="n"/>
      <c r="H724" s="17" t="n"/>
      <c r="I724" s="17" t="n"/>
      <c r="J724" s="13">
        <f>IF($B724="","",MONTH($B724))</f>
        <v/>
      </c>
      <c r="K724" s="13">
        <f>IF($B724="","",YEAR($B724))</f>
        <v/>
      </c>
    </row>
    <row r="725">
      <c r="A725" s="18">
        <f>IF($B725="","",ROW()-9)</f>
        <v/>
      </c>
      <c r="B725" s="19" t="n"/>
      <c r="C725" s="4" t="n"/>
      <c r="D725" s="4" t="n"/>
      <c r="E725" s="4" t="n"/>
      <c r="F725" s="4">
        <f>IF($E725="","",IFERROR(VLOOKUP($E725,AKUN!$A$2:$B$200,2,FALSE),"Kode tidak ditemukan"))</f>
        <v/>
      </c>
      <c r="G725" s="4" t="n"/>
      <c r="H725" s="9" t="n"/>
      <c r="I725" s="9" t="n"/>
      <c r="J725" s="18">
        <f>IF($B725="","",MONTH($B725))</f>
        <v/>
      </c>
      <c r="K725" s="18">
        <f>IF($B725="","",YEAR($B725))</f>
        <v/>
      </c>
    </row>
    <row r="726">
      <c r="A726" s="13">
        <f>IF($B726="","",ROW()-9)</f>
        <v/>
      </c>
      <c r="B726" s="14" t="n"/>
      <c r="C726" s="15" t="n"/>
      <c r="D726" s="15" t="n"/>
      <c r="E726" s="15" t="n"/>
      <c r="F726" s="15">
        <f>IF($E726="","",IFERROR(VLOOKUP($E726,AKUN!$A$2:$B$200,2,FALSE),"Kode tidak ditemukan"))</f>
        <v/>
      </c>
      <c r="G726" s="15" t="n"/>
      <c r="H726" s="17" t="n"/>
      <c r="I726" s="17" t="n"/>
      <c r="J726" s="13">
        <f>IF($B726="","",MONTH($B726))</f>
        <v/>
      </c>
      <c r="K726" s="13">
        <f>IF($B726="","",YEAR($B726))</f>
        <v/>
      </c>
    </row>
    <row r="727">
      <c r="A727" s="18">
        <f>IF($B727="","",ROW()-9)</f>
        <v/>
      </c>
      <c r="B727" s="19" t="n"/>
      <c r="C727" s="4" t="n"/>
      <c r="D727" s="4" t="n"/>
      <c r="E727" s="4" t="n"/>
      <c r="F727" s="4">
        <f>IF($E727="","",IFERROR(VLOOKUP($E727,AKUN!$A$2:$B$200,2,FALSE),"Kode tidak ditemukan"))</f>
        <v/>
      </c>
      <c r="G727" s="4" t="n"/>
      <c r="H727" s="9" t="n"/>
      <c r="I727" s="9" t="n"/>
      <c r="J727" s="18">
        <f>IF($B727="","",MONTH($B727))</f>
        <v/>
      </c>
      <c r="K727" s="18">
        <f>IF($B727="","",YEAR($B727))</f>
        <v/>
      </c>
    </row>
    <row r="728">
      <c r="A728" s="13">
        <f>IF($B728="","",ROW()-9)</f>
        <v/>
      </c>
      <c r="B728" s="14" t="n"/>
      <c r="C728" s="15" t="n"/>
      <c r="D728" s="15" t="n"/>
      <c r="E728" s="15" t="n"/>
      <c r="F728" s="15">
        <f>IF($E728="","",IFERROR(VLOOKUP($E728,AKUN!$A$2:$B$200,2,FALSE),"Kode tidak ditemukan"))</f>
        <v/>
      </c>
      <c r="G728" s="15" t="n"/>
      <c r="H728" s="17" t="n"/>
      <c r="I728" s="17" t="n"/>
      <c r="J728" s="13">
        <f>IF($B728="","",MONTH($B728))</f>
        <v/>
      </c>
      <c r="K728" s="13">
        <f>IF($B728="","",YEAR($B728))</f>
        <v/>
      </c>
    </row>
    <row r="729">
      <c r="A729" s="18">
        <f>IF($B729="","",ROW()-9)</f>
        <v/>
      </c>
      <c r="B729" s="19" t="n"/>
      <c r="C729" s="4" t="n"/>
      <c r="D729" s="4" t="n"/>
      <c r="E729" s="4" t="n"/>
      <c r="F729" s="4">
        <f>IF($E729="","",IFERROR(VLOOKUP($E729,AKUN!$A$2:$B$200,2,FALSE),"Kode tidak ditemukan"))</f>
        <v/>
      </c>
      <c r="G729" s="4" t="n"/>
      <c r="H729" s="9" t="n"/>
      <c r="I729" s="9" t="n"/>
      <c r="J729" s="18">
        <f>IF($B729="","",MONTH($B729))</f>
        <v/>
      </c>
      <c r="K729" s="18">
        <f>IF($B729="","",YEAR($B729))</f>
        <v/>
      </c>
    </row>
    <row r="730">
      <c r="A730" s="13">
        <f>IF($B730="","",ROW()-9)</f>
        <v/>
      </c>
      <c r="B730" s="14" t="n"/>
      <c r="C730" s="15" t="n"/>
      <c r="D730" s="15" t="n"/>
      <c r="E730" s="15" t="n"/>
      <c r="F730" s="15">
        <f>IF($E730="","",IFERROR(VLOOKUP($E730,AKUN!$A$2:$B$200,2,FALSE),"Kode tidak ditemukan"))</f>
        <v/>
      </c>
      <c r="G730" s="15" t="n"/>
      <c r="H730" s="17" t="n"/>
      <c r="I730" s="17" t="n"/>
      <c r="J730" s="13">
        <f>IF($B730="","",MONTH($B730))</f>
        <v/>
      </c>
      <c r="K730" s="13">
        <f>IF($B730="","",YEAR($B730))</f>
        <v/>
      </c>
    </row>
    <row r="731">
      <c r="A731" s="18">
        <f>IF($B731="","",ROW()-9)</f>
        <v/>
      </c>
      <c r="B731" s="19" t="n"/>
      <c r="C731" s="4" t="n"/>
      <c r="D731" s="4" t="n"/>
      <c r="E731" s="4" t="n"/>
      <c r="F731" s="4">
        <f>IF($E731="","",IFERROR(VLOOKUP($E731,AKUN!$A$2:$B$200,2,FALSE),"Kode tidak ditemukan"))</f>
        <v/>
      </c>
      <c r="G731" s="4" t="n"/>
      <c r="H731" s="9" t="n"/>
      <c r="I731" s="9" t="n"/>
      <c r="J731" s="18">
        <f>IF($B731="","",MONTH($B731))</f>
        <v/>
      </c>
      <c r="K731" s="18">
        <f>IF($B731="","",YEAR($B731))</f>
        <v/>
      </c>
    </row>
    <row r="732">
      <c r="A732" s="13">
        <f>IF($B732="","",ROW()-9)</f>
        <v/>
      </c>
      <c r="B732" s="14" t="n"/>
      <c r="C732" s="15" t="n"/>
      <c r="D732" s="15" t="n"/>
      <c r="E732" s="15" t="n"/>
      <c r="F732" s="15">
        <f>IF($E732="","",IFERROR(VLOOKUP($E732,AKUN!$A$2:$B$200,2,FALSE),"Kode tidak ditemukan"))</f>
        <v/>
      </c>
      <c r="G732" s="15" t="n"/>
      <c r="H732" s="17" t="n"/>
      <c r="I732" s="17" t="n"/>
      <c r="J732" s="13">
        <f>IF($B732="","",MONTH($B732))</f>
        <v/>
      </c>
      <c r="K732" s="13">
        <f>IF($B732="","",YEAR($B732))</f>
        <v/>
      </c>
    </row>
    <row r="733">
      <c r="A733" s="18">
        <f>IF($B733="","",ROW()-9)</f>
        <v/>
      </c>
      <c r="B733" s="19" t="n"/>
      <c r="C733" s="4" t="n"/>
      <c r="D733" s="4" t="n"/>
      <c r="E733" s="4" t="n"/>
      <c r="F733" s="4">
        <f>IF($E733="","",IFERROR(VLOOKUP($E733,AKUN!$A$2:$B$200,2,FALSE),"Kode tidak ditemukan"))</f>
        <v/>
      </c>
      <c r="G733" s="4" t="n"/>
      <c r="H733" s="9" t="n"/>
      <c r="I733" s="9" t="n"/>
      <c r="J733" s="18">
        <f>IF($B733="","",MONTH($B733))</f>
        <v/>
      </c>
      <c r="K733" s="18">
        <f>IF($B733="","",YEAR($B733))</f>
        <v/>
      </c>
    </row>
    <row r="734">
      <c r="A734" s="13">
        <f>IF($B734="","",ROW()-9)</f>
        <v/>
      </c>
      <c r="B734" s="14" t="n"/>
      <c r="C734" s="15" t="n"/>
      <c r="D734" s="15" t="n"/>
      <c r="E734" s="15" t="n"/>
      <c r="F734" s="15">
        <f>IF($E734="","",IFERROR(VLOOKUP($E734,AKUN!$A$2:$B$200,2,FALSE),"Kode tidak ditemukan"))</f>
        <v/>
      </c>
      <c r="G734" s="15" t="n"/>
      <c r="H734" s="17" t="n"/>
      <c r="I734" s="17" t="n"/>
      <c r="J734" s="13">
        <f>IF($B734="","",MONTH($B734))</f>
        <v/>
      </c>
      <c r="K734" s="13">
        <f>IF($B734="","",YEAR($B734))</f>
        <v/>
      </c>
    </row>
    <row r="735">
      <c r="A735" s="18">
        <f>IF($B735="","",ROW()-9)</f>
        <v/>
      </c>
      <c r="B735" s="19" t="n"/>
      <c r="C735" s="4" t="n"/>
      <c r="D735" s="4" t="n"/>
      <c r="E735" s="4" t="n"/>
      <c r="F735" s="4">
        <f>IF($E735="","",IFERROR(VLOOKUP($E735,AKUN!$A$2:$B$200,2,FALSE),"Kode tidak ditemukan"))</f>
        <v/>
      </c>
      <c r="G735" s="4" t="n"/>
      <c r="H735" s="9" t="n"/>
      <c r="I735" s="9" t="n"/>
      <c r="J735" s="18">
        <f>IF($B735="","",MONTH($B735))</f>
        <v/>
      </c>
      <c r="K735" s="18">
        <f>IF($B735="","",YEAR($B735))</f>
        <v/>
      </c>
    </row>
    <row r="736">
      <c r="A736" s="13">
        <f>IF($B736="","",ROW()-9)</f>
        <v/>
      </c>
      <c r="B736" s="14" t="n"/>
      <c r="C736" s="15" t="n"/>
      <c r="D736" s="15" t="n"/>
      <c r="E736" s="15" t="n"/>
      <c r="F736" s="15">
        <f>IF($E736="","",IFERROR(VLOOKUP($E736,AKUN!$A$2:$B$200,2,FALSE),"Kode tidak ditemukan"))</f>
        <v/>
      </c>
      <c r="G736" s="15" t="n"/>
      <c r="H736" s="17" t="n"/>
      <c r="I736" s="17" t="n"/>
      <c r="J736" s="13">
        <f>IF($B736="","",MONTH($B736))</f>
        <v/>
      </c>
      <c r="K736" s="13">
        <f>IF($B736="","",YEAR($B736))</f>
        <v/>
      </c>
    </row>
    <row r="737">
      <c r="A737" s="18">
        <f>IF($B737="","",ROW()-9)</f>
        <v/>
      </c>
      <c r="B737" s="19" t="n"/>
      <c r="C737" s="4" t="n"/>
      <c r="D737" s="4" t="n"/>
      <c r="E737" s="4" t="n"/>
      <c r="F737" s="4">
        <f>IF($E737="","",IFERROR(VLOOKUP($E737,AKUN!$A$2:$B$200,2,FALSE),"Kode tidak ditemukan"))</f>
        <v/>
      </c>
      <c r="G737" s="4" t="n"/>
      <c r="H737" s="9" t="n"/>
      <c r="I737" s="9" t="n"/>
      <c r="J737" s="18">
        <f>IF($B737="","",MONTH($B737))</f>
        <v/>
      </c>
      <c r="K737" s="18">
        <f>IF($B737="","",YEAR($B737))</f>
        <v/>
      </c>
    </row>
    <row r="738">
      <c r="A738" s="13">
        <f>IF($B738="","",ROW()-9)</f>
        <v/>
      </c>
      <c r="B738" s="14" t="n"/>
      <c r="C738" s="15" t="n"/>
      <c r="D738" s="15" t="n"/>
      <c r="E738" s="15" t="n"/>
      <c r="F738" s="15">
        <f>IF($E738="","",IFERROR(VLOOKUP($E738,AKUN!$A$2:$B$200,2,FALSE),"Kode tidak ditemukan"))</f>
        <v/>
      </c>
      <c r="G738" s="15" t="n"/>
      <c r="H738" s="17" t="n"/>
      <c r="I738" s="17" t="n"/>
      <c r="J738" s="13">
        <f>IF($B738="","",MONTH($B738))</f>
        <v/>
      </c>
      <c r="K738" s="13">
        <f>IF($B738="","",YEAR($B738))</f>
        <v/>
      </c>
    </row>
    <row r="739">
      <c r="A739" s="18">
        <f>IF($B739="","",ROW()-9)</f>
        <v/>
      </c>
      <c r="B739" s="19" t="n"/>
      <c r="C739" s="4" t="n"/>
      <c r="D739" s="4" t="n"/>
      <c r="E739" s="4" t="n"/>
      <c r="F739" s="4">
        <f>IF($E739="","",IFERROR(VLOOKUP($E739,AKUN!$A$2:$B$200,2,FALSE),"Kode tidak ditemukan"))</f>
        <v/>
      </c>
      <c r="G739" s="4" t="n"/>
      <c r="H739" s="9" t="n"/>
      <c r="I739" s="9" t="n"/>
      <c r="J739" s="18">
        <f>IF($B739="","",MONTH($B739))</f>
        <v/>
      </c>
      <c r="K739" s="18">
        <f>IF($B739="","",YEAR($B739))</f>
        <v/>
      </c>
    </row>
    <row r="740">
      <c r="A740" s="13">
        <f>IF($B740="","",ROW()-9)</f>
        <v/>
      </c>
      <c r="B740" s="14" t="n"/>
      <c r="C740" s="15" t="n"/>
      <c r="D740" s="15" t="n"/>
      <c r="E740" s="15" t="n"/>
      <c r="F740" s="15">
        <f>IF($E740="","",IFERROR(VLOOKUP($E740,AKUN!$A$2:$B$200,2,FALSE),"Kode tidak ditemukan"))</f>
        <v/>
      </c>
      <c r="G740" s="15" t="n"/>
      <c r="H740" s="17" t="n"/>
      <c r="I740" s="17" t="n"/>
      <c r="J740" s="13">
        <f>IF($B740="","",MONTH($B740))</f>
        <v/>
      </c>
      <c r="K740" s="13">
        <f>IF($B740="","",YEAR($B740))</f>
        <v/>
      </c>
    </row>
    <row r="741">
      <c r="A741" s="18">
        <f>IF($B741="","",ROW()-9)</f>
        <v/>
      </c>
      <c r="B741" s="19" t="n"/>
      <c r="C741" s="4" t="n"/>
      <c r="D741" s="4" t="n"/>
      <c r="E741" s="4" t="n"/>
      <c r="F741" s="4">
        <f>IF($E741="","",IFERROR(VLOOKUP($E741,AKUN!$A$2:$B$200,2,FALSE),"Kode tidak ditemukan"))</f>
        <v/>
      </c>
      <c r="G741" s="4" t="n"/>
      <c r="H741" s="9" t="n"/>
      <c r="I741" s="9" t="n"/>
      <c r="J741" s="18">
        <f>IF($B741="","",MONTH($B741))</f>
        <v/>
      </c>
      <c r="K741" s="18">
        <f>IF($B741="","",YEAR($B741))</f>
        <v/>
      </c>
    </row>
    <row r="742">
      <c r="A742" s="13">
        <f>IF($B742="","",ROW()-9)</f>
        <v/>
      </c>
      <c r="B742" s="14" t="n"/>
      <c r="C742" s="15" t="n"/>
      <c r="D742" s="15" t="n"/>
      <c r="E742" s="15" t="n"/>
      <c r="F742" s="15">
        <f>IF($E742="","",IFERROR(VLOOKUP($E742,AKUN!$A$2:$B$200,2,FALSE),"Kode tidak ditemukan"))</f>
        <v/>
      </c>
      <c r="G742" s="15" t="n"/>
      <c r="H742" s="17" t="n"/>
      <c r="I742" s="17" t="n"/>
      <c r="J742" s="13">
        <f>IF($B742="","",MONTH($B742))</f>
        <v/>
      </c>
      <c r="K742" s="13">
        <f>IF($B742="","",YEAR($B742))</f>
        <v/>
      </c>
    </row>
    <row r="743">
      <c r="A743" s="18">
        <f>IF($B743="","",ROW()-9)</f>
        <v/>
      </c>
      <c r="B743" s="19" t="n"/>
      <c r="C743" s="4" t="n"/>
      <c r="D743" s="4" t="n"/>
      <c r="E743" s="4" t="n"/>
      <c r="F743" s="4">
        <f>IF($E743="","",IFERROR(VLOOKUP($E743,AKUN!$A$2:$B$200,2,FALSE),"Kode tidak ditemukan"))</f>
        <v/>
      </c>
      <c r="G743" s="4" t="n"/>
      <c r="H743" s="9" t="n"/>
      <c r="I743" s="9" t="n"/>
      <c r="J743" s="18">
        <f>IF($B743="","",MONTH($B743))</f>
        <v/>
      </c>
      <c r="K743" s="18">
        <f>IF($B743="","",YEAR($B743))</f>
        <v/>
      </c>
    </row>
    <row r="744">
      <c r="A744" s="13">
        <f>IF($B744="","",ROW()-9)</f>
        <v/>
      </c>
      <c r="B744" s="14" t="n"/>
      <c r="C744" s="15" t="n"/>
      <c r="D744" s="15" t="n"/>
      <c r="E744" s="15" t="n"/>
      <c r="F744" s="15">
        <f>IF($E744="","",IFERROR(VLOOKUP($E744,AKUN!$A$2:$B$200,2,FALSE),"Kode tidak ditemukan"))</f>
        <v/>
      </c>
      <c r="G744" s="15" t="n"/>
      <c r="H744" s="17" t="n"/>
      <c r="I744" s="17" t="n"/>
      <c r="J744" s="13">
        <f>IF($B744="","",MONTH($B744))</f>
        <v/>
      </c>
      <c r="K744" s="13">
        <f>IF($B744="","",YEAR($B744))</f>
        <v/>
      </c>
    </row>
    <row r="745">
      <c r="A745" s="18">
        <f>IF($B745="","",ROW()-9)</f>
        <v/>
      </c>
      <c r="B745" s="19" t="n"/>
      <c r="C745" s="4" t="n"/>
      <c r="D745" s="4" t="n"/>
      <c r="E745" s="4" t="n"/>
      <c r="F745" s="4">
        <f>IF($E745="","",IFERROR(VLOOKUP($E745,AKUN!$A$2:$B$200,2,FALSE),"Kode tidak ditemukan"))</f>
        <v/>
      </c>
      <c r="G745" s="4" t="n"/>
      <c r="H745" s="9" t="n"/>
      <c r="I745" s="9" t="n"/>
      <c r="J745" s="18">
        <f>IF($B745="","",MONTH($B745))</f>
        <v/>
      </c>
      <c r="K745" s="18">
        <f>IF($B745="","",YEAR($B745))</f>
        <v/>
      </c>
    </row>
    <row r="746">
      <c r="A746" s="13">
        <f>IF($B746="","",ROW()-9)</f>
        <v/>
      </c>
      <c r="B746" s="14" t="n"/>
      <c r="C746" s="15" t="n"/>
      <c r="D746" s="15" t="n"/>
      <c r="E746" s="15" t="n"/>
      <c r="F746" s="15">
        <f>IF($E746="","",IFERROR(VLOOKUP($E746,AKUN!$A$2:$B$200,2,FALSE),"Kode tidak ditemukan"))</f>
        <v/>
      </c>
      <c r="G746" s="15" t="n"/>
      <c r="H746" s="17" t="n"/>
      <c r="I746" s="17" t="n"/>
      <c r="J746" s="13">
        <f>IF($B746="","",MONTH($B746))</f>
        <v/>
      </c>
      <c r="K746" s="13">
        <f>IF($B746="","",YEAR($B746))</f>
        <v/>
      </c>
    </row>
    <row r="747">
      <c r="A747" s="18">
        <f>IF($B747="","",ROW()-9)</f>
        <v/>
      </c>
      <c r="B747" s="19" t="n"/>
      <c r="C747" s="4" t="n"/>
      <c r="D747" s="4" t="n"/>
      <c r="E747" s="4" t="n"/>
      <c r="F747" s="4">
        <f>IF($E747="","",IFERROR(VLOOKUP($E747,AKUN!$A$2:$B$200,2,FALSE),"Kode tidak ditemukan"))</f>
        <v/>
      </c>
      <c r="G747" s="4" t="n"/>
      <c r="H747" s="9" t="n"/>
      <c r="I747" s="9" t="n"/>
      <c r="J747" s="18">
        <f>IF($B747="","",MONTH($B747))</f>
        <v/>
      </c>
      <c r="K747" s="18">
        <f>IF($B747="","",YEAR($B747))</f>
        <v/>
      </c>
    </row>
    <row r="748">
      <c r="A748" s="13">
        <f>IF($B748="","",ROW()-9)</f>
        <v/>
      </c>
      <c r="B748" s="14" t="n"/>
      <c r="C748" s="15" t="n"/>
      <c r="D748" s="15" t="n"/>
      <c r="E748" s="15" t="n"/>
      <c r="F748" s="15">
        <f>IF($E748="","",IFERROR(VLOOKUP($E748,AKUN!$A$2:$B$200,2,FALSE),"Kode tidak ditemukan"))</f>
        <v/>
      </c>
      <c r="G748" s="15" t="n"/>
      <c r="H748" s="17" t="n"/>
      <c r="I748" s="17" t="n"/>
      <c r="J748" s="13">
        <f>IF($B748="","",MONTH($B748))</f>
        <v/>
      </c>
      <c r="K748" s="13">
        <f>IF($B748="","",YEAR($B748))</f>
        <v/>
      </c>
    </row>
    <row r="749">
      <c r="A749" s="18">
        <f>IF($B749="","",ROW()-9)</f>
        <v/>
      </c>
      <c r="B749" s="19" t="n"/>
      <c r="C749" s="4" t="n"/>
      <c r="D749" s="4" t="n"/>
      <c r="E749" s="4" t="n"/>
      <c r="F749" s="4">
        <f>IF($E749="","",IFERROR(VLOOKUP($E749,AKUN!$A$2:$B$200,2,FALSE),"Kode tidak ditemukan"))</f>
        <v/>
      </c>
      <c r="G749" s="4" t="n"/>
      <c r="H749" s="9" t="n"/>
      <c r="I749" s="9" t="n"/>
      <c r="J749" s="18">
        <f>IF($B749="","",MONTH($B749))</f>
        <v/>
      </c>
      <c r="K749" s="18">
        <f>IF($B749="","",YEAR($B749))</f>
        <v/>
      </c>
    </row>
    <row r="750">
      <c r="A750" s="13">
        <f>IF($B750="","",ROW()-9)</f>
        <v/>
      </c>
      <c r="B750" s="14" t="n"/>
      <c r="C750" s="15" t="n"/>
      <c r="D750" s="15" t="n"/>
      <c r="E750" s="15" t="n"/>
      <c r="F750" s="15">
        <f>IF($E750="","",IFERROR(VLOOKUP($E750,AKUN!$A$2:$B$200,2,FALSE),"Kode tidak ditemukan"))</f>
        <v/>
      </c>
      <c r="G750" s="15" t="n"/>
      <c r="H750" s="17" t="n"/>
      <c r="I750" s="17" t="n"/>
      <c r="J750" s="13">
        <f>IF($B750="","",MONTH($B750))</f>
        <v/>
      </c>
      <c r="K750" s="13">
        <f>IF($B750="","",YEAR($B750))</f>
        <v/>
      </c>
    </row>
    <row r="751">
      <c r="A751" s="18">
        <f>IF($B751="","",ROW()-9)</f>
        <v/>
      </c>
      <c r="B751" s="19" t="n"/>
      <c r="C751" s="4" t="n"/>
      <c r="D751" s="4" t="n"/>
      <c r="E751" s="4" t="n"/>
      <c r="F751" s="4">
        <f>IF($E751="","",IFERROR(VLOOKUP($E751,AKUN!$A$2:$B$200,2,FALSE),"Kode tidak ditemukan"))</f>
        <v/>
      </c>
      <c r="G751" s="4" t="n"/>
      <c r="H751" s="9" t="n"/>
      <c r="I751" s="9" t="n"/>
      <c r="J751" s="18">
        <f>IF($B751="","",MONTH($B751))</f>
        <v/>
      </c>
      <c r="K751" s="18">
        <f>IF($B751="","",YEAR($B751))</f>
        <v/>
      </c>
    </row>
    <row r="752">
      <c r="A752" s="13">
        <f>IF($B752="","",ROW()-9)</f>
        <v/>
      </c>
      <c r="B752" s="14" t="n"/>
      <c r="C752" s="15" t="n"/>
      <c r="D752" s="15" t="n"/>
      <c r="E752" s="15" t="n"/>
      <c r="F752" s="15">
        <f>IF($E752="","",IFERROR(VLOOKUP($E752,AKUN!$A$2:$B$200,2,FALSE),"Kode tidak ditemukan"))</f>
        <v/>
      </c>
      <c r="G752" s="15" t="n"/>
      <c r="H752" s="17" t="n"/>
      <c r="I752" s="17" t="n"/>
      <c r="J752" s="13">
        <f>IF($B752="","",MONTH($B752))</f>
        <v/>
      </c>
      <c r="K752" s="13">
        <f>IF($B752="","",YEAR($B752))</f>
        <v/>
      </c>
    </row>
    <row r="753">
      <c r="A753" s="18">
        <f>IF($B753="","",ROW()-9)</f>
        <v/>
      </c>
      <c r="B753" s="19" t="n"/>
      <c r="C753" s="4" t="n"/>
      <c r="D753" s="4" t="n"/>
      <c r="E753" s="4" t="n"/>
      <c r="F753" s="4">
        <f>IF($E753="","",IFERROR(VLOOKUP($E753,AKUN!$A$2:$B$200,2,FALSE),"Kode tidak ditemukan"))</f>
        <v/>
      </c>
      <c r="G753" s="4" t="n"/>
      <c r="H753" s="9" t="n"/>
      <c r="I753" s="9" t="n"/>
      <c r="J753" s="18">
        <f>IF($B753="","",MONTH($B753))</f>
        <v/>
      </c>
      <c r="K753" s="18">
        <f>IF($B753="","",YEAR($B753))</f>
        <v/>
      </c>
    </row>
    <row r="754">
      <c r="A754" s="13">
        <f>IF($B754="","",ROW()-9)</f>
        <v/>
      </c>
      <c r="B754" s="14" t="n"/>
      <c r="C754" s="15" t="n"/>
      <c r="D754" s="15" t="n"/>
      <c r="E754" s="15" t="n"/>
      <c r="F754" s="15">
        <f>IF($E754="","",IFERROR(VLOOKUP($E754,AKUN!$A$2:$B$200,2,FALSE),"Kode tidak ditemukan"))</f>
        <v/>
      </c>
      <c r="G754" s="15" t="n"/>
      <c r="H754" s="17" t="n"/>
      <c r="I754" s="17" t="n"/>
      <c r="J754" s="13">
        <f>IF($B754="","",MONTH($B754))</f>
        <v/>
      </c>
      <c r="K754" s="13">
        <f>IF($B754="","",YEAR($B754))</f>
        <v/>
      </c>
    </row>
    <row r="755">
      <c r="A755" s="18">
        <f>IF($B755="","",ROW()-9)</f>
        <v/>
      </c>
      <c r="B755" s="19" t="n"/>
      <c r="C755" s="4" t="n"/>
      <c r="D755" s="4" t="n"/>
      <c r="E755" s="4" t="n"/>
      <c r="F755" s="4">
        <f>IF($E755="","",IFERROR(VLOOKUP($E755,AKUN!$A$2:$B$200,2,FALSE),"Kode tidak ditemukan"))</f>
        <v/>
      </c>
      <c r="G755" s="4" t="n"/>
      <c r="H755" s="9" t="n"/>
      <c r="I755" s="9" t="n"/>
      <c r="J755" s="18">
        <f>IF($B755="","",MONTH($B755))</f>
        <v/>
      </c>
      <c r="K755" s="18">
        <f>IF($B755="","",YEAR($B755))</f>
        <v/>
      </c>
    </row>
    <row r="756">
      <c r="A756" s="13">
        <f>IF($B756="","",ROW()-9)</f>
        <v/>
      </c>
      <c r="B756" s="14" t="n"/>
      <c r="C756" s="15" t="n"/>
      <c r="D756" s="15" t="n"/>
      <c r="E756" s="15" t="n"/>
      <c r="F756" s="15">
        <f>IF($E756="","",IFERROR(VLOOKUP($E756,AKUN!$A$2:$B$200,2,FALSE),"Kode tidak ditemukan"))</f>
        <v/>
      </c>
      <c r="G756" s="15" t="n"/>
      <c r="H756" s="17" t="n"/>
      <c r="I756" s="17" t="n"/>
      <c r="J756" s="13">
        <f>IF($B756="","",MONTH($B756))</f>
        <v/>
      </c>
      <c r="K756" s="13">
        <f>IF($B756="","",YEAR($B756))</f>
        <v/>
      </c>
    </row>
    <row r="757">
      <c r="A757" s="18">
        <f>IF($B757="","",ROW()-9)</f>
        <v/>
      </c>
      <c r="B757" s="19" t="n"/>
      <c r="C757" s="4" t="n"/>
      <c r="D757" s="4" t="n"/>
      <c r="E757" s="4" t="n"/>
      <c r="F757" s="4">
        <f>IF($E757="","",IFERROR(VLOOKUP($E757,AKUN!$A$2:$B$200,2,FALSE),"Kode tidak ditemukan"))</f>
        <v/>
      </c>
      <c r="G757" s="4" t="n"/>
      <c r="H757" s="9" t="n"/>
      <c r="I757" s="9" t="n"/>
      <c r="J757" s="18">
        <f>IF($B757="","",MONTH($B757))</f>
        <v/>
      </c>
      <c r="K757" s="18">
        <f>IF($B757="","",YEAR($B757))</f>
        <v/>
      </c>
    </row>
    <row r="758">
      <c r="A758" s="13">
        <f>IF($B758="","",ROW()-9)</f>
        <v/>
      </c>
      <c r="B758" s="14" t="n"/>
      <c r="C758" s="15" t="n"/>
      <c r="D758" s="15" t="n"/>
      <c r="E758" s="15" t="n"/>
      <c r="F758" s="15">
        <f>IF($E758="","",IFERROR(VLOOKUP($E758,AKUN!$A$2:$B$200,2,FALSE),"Kode tidak ditemukan"))</f>
        <v/>
      </c>
      <c r="G758" s="15" t="n"/>
      <c r="H758" s="17" t="n"/>
      <c r="I758" s="17" t="n"/>
      <c r="J758" s="13">
        <f>IF($B758="","",MONTH($B758))</f>
        <v/>
      </c>
      <c r="K758" s="13">
        <f>IF($B758="","",YEAR($B758))</f>
        <v/>
      </c>
    </row>
    <row r="759">
      <c r="A759" s="18">
        <f>IF($B759="","",ROW()-9)</f>
        <v/>
      </c>
      <c r="B759" s="19" t="n"/>
      <c r="C759" s="4" t="n"/>
      <c r="D759" s="4" t="n"/>
      <c r="E759" s="4" t="n"/>
      <c r="F759" s="4">
        <f>IF($E759="","",IFERROR(VLOOKUP($E759,AKUN!$A$2:$B$200,2,FALSE),"Kode tidak ditemukan"))</f>
        <v/>
      </c>
      <c r="G759" s="4" t="n"/>
      <c r="H759" s="9" t="n"/>
      <c r="I759" s="9" t="n"/>
      <c r="J759" s="18">
        <f>IF($B759="","",MONTH($B759))</f>
        <v/>
      </c>
      <c r="K759" s="18">
        <f>IF($B759="","",YEAR($B759))</f>
        <v/>
      </c>
    </row>
    <row r="760">
      <c r="A760" s="13">
        <f>IF($B760="","",ROW()-9)</f>
        <v/>
      </c>
      <c r="B760" s="14" t="n"/>
      <c r="C760" s="15" t="n"/>
      <c r="D760" s="15" t="n"/>
      <c r="E760" s="15" t="n"/>
      <c r="F760" s="15">
        <f>IF($E760="","",IFERROR(VLOOKUP($E760,AKUN!$A$2:$B$200,2,FALSE),"Kode tidak ditemukan"))</f>
        <v/>
      </c>
      <c r="G760" s="15" t="n"/>
      <c r="H760" s="17" t="n"/>
      <c r="I760" s="17" t="n"/>
      <c r="J760" s="13">
        <f>IF($B760="","",MONTH($B760))</f>
        <v/>
      </c>
      <c r="K760" s="13">
        <f>IF($B760="","",YEAR($B760))</f>
        <v/>
      </c>
    </row>
    <row r="761">
      <c r="A761" s="18">
        <f>IF($B761="","",ROW()-9)</f>
        <v/>
      </c>
      <c r="B761" s="19" t="n"/>
      <c r="C761" s="4" t="n"/>
      <c r="D761" s="4" t="n"/>
      <c r="E761" s="4" t="n"/>
      <c r="F761" s="4">
        <f>IF($E761="","",IFERROR(VLOOKUP($E761,AKUN!$A$2:$B$200,2,FALSE),"Kode tidak ditemukan"))</f>
        <v/>
      </c>
      <c r="G761" s="4" t="n"/>
      <c r="H761" s="9" t="n"/>
      <c r="I761" s="9" t="n"/>
      <c r="J761" s="18">
        <f>IF($B761="","",MONTH($B761))</f>
        <v/>
      </c>
      <c r="K761" s="18">
        <f>IF($B761="","",YEAR($B761))</f>
        <v/>
      </c>
    </row>
    <row r="762">
      <c r="A762" s="13">
        <f>IF($B762="","",ROW()-9)</f>
        <v/>
      </c>
      <c r="B762" s="14" t="n"/>
      <c r="C762" s="15" t="n"/>
      <c r="D762" s="15" t="n"/>
      <c r="E762" s="15" t="n"/>
      <c r="F762" s="15">
        <f>IF($E762="","",IFERROR(VLOOKUP($E762,AKUN!$A$2:$B$200,2,FALSE),"Kode tidak ditemukan"))</f>
        <v/>
      </c>
      <c r="G762" s="15" t="n"/>
      <c r="H762" s="17" t="n"/>
      <c r="I762" s="17" t="n"/>
      <c r="J762" s="13">
        <f>IF($B762="","",MONTH($B762))</f>
        <v/>
      </c>
      <c r="K762" s="13">
        <f>IF($B762="","",YEAR($B762))</f>
        <v/>
      </c>
    </row>
    <row r="763">
      <c r="A763" s="18">
        <f>IF($B763="","",ROW()-9)</f>
        <v/>
      </c>
      <c r="B763" s="19" t="n"/>
      <c r="C763" s="4" t="n"/>
      <c r="D763" s="4" t="n"/>
      <c r="E763" s="4" t="n"/>
      <c r="F763" s="4">
        <f>IF($E763="","",IFERROR(VLOOKUP($E763,AKUN!$A$2:$B$200,2,FALSE),"Kode tidak ditemukan"))</f>
        <v/>
      </c>
      <c r="G763" s="4" t="n"/>
      <c r="H763" s="9" t="n"/>
      <c r="I763" s="9" t="n"/>
      <c r="J763" s="18">
        <f>IF($B763="","",MONTH($B763))</f>
        <v/>
      </c>
      <c r="K763" s="18">
        <f>IF($B763="","",YEAR($B763))</f>
        <v/>
      </c>
    </row>
    <row r="764">
      <c r="A764" s="13">
        <f>IF($B764="","",ROW()-9)</f>
        <v/>
      </c>
      <c r="B764" s="14" t="n"/>
      <c r="C764" s="15" t="n"/>
      <c r="D764" s="15" t="n"/>
      <c r="E764" s="15" t="n"/>
      <c r="F764" s="15">
        <f>IF($E764="","",IFERROR(VLOOKUP($E764,AKUN!$A$2:$B$200,2,FALSE),"Kode tidak ditemukan"))</f>
        <v/>
      </c>
      <c r="G764" s="15" t="n"/>
      <c r="H764" s="17" t="n"/>
      <c r="I764" s="17" t="n"/>
      <c r="J764" s="13">
        <f>IF($B764="","",MONTH($B764))</f>
        <v/>
      </c>
      <c r="K764" s="13">
        <f>IF($B764="","",YEAR($B764))</f>
        <v/>
      </c>
    </row>
    <row r="765">
      <c r="A765" s="18">
        <f>IF($B765="","",ROW()-9)</f>
        <v/>
      </c>
      <c r="B765" s="19" t="n"/>
      <c r="C765" s="4" t="n"/>
      <c r="D765" s="4" t="n"/>
      <c r="E765" s="4" t="n"/>
      <c r="F765" s="4">
        <f>IF($E765="","",IFERROR(VLOOKUP($E765,AKUN!$A$2:$B$200,2,FALSE),"Kode tidak ditemukan"))</f>
        <v/>
      </c>
      <c r="G765" s="4" t="n"/>
      <c r="H765" s="9" t="n"/>
      <c r="I765" s="9" t="n"/>
      <c r="J765" s="18">
        <f>IF($B765="","",MONTH($B765))</f>
        <v/>
      </c>
      <c r="K765" s="18">
        <f>IF($B765="","",YEAR($B765))</f>
        <v/>
      </c>
    </row>
    <row r="766">
      <c r="A766" s="13">
        <f>IF($B766="","",ROW()-9)</f>
        <v/>
      </c>
      <c r="B766" s="14" t="n"/>
      <c r="C766" s="15" t="n"/>
      <c r="D766" s="15" t="n"/>
      <c r="E766" s="15" t="n"/>
      <c r="F766" s="15">
        <f>IF($E766="","",IFERROR(VLOOKUP($E766,AKUN!$A$2:$B$200,2,FALSE),"Kode tidak ditemukan"))</f>
        <v/>
      </c>
      <c r="G766" s="15" t="n"/>
      <c r="H766" s="17" t="n"/>
      <c r="I766" s="17" t="n"/>
      <c r="J766" s="13">
        <f>IF($B766="","",MONTH($B766))</f>
        <v/>
      </c>
      <c r="K766" s="13">
        <f>IF($B766="","",YEAR($B766))</f>
        <v/>
      </c>
    </row>
    <row r="767">
      <c r="A767" s="18">
        <f>IF($B767="","",ROW()-9)</f>
        <v/>
      </c>
      <c r="B767" s="19" t="n"/>
      <c r="C767" s="4" t="n"/>
      <c r="D767" s="4" t="n"/>
      <c r="E767" s="4" t="n"/>
      <c r="F767" s="4">
        <f>IF($E767="","",IFERROR(VLOOKUP($E767,AKUN!$A$2:$B$200,2,FALSE),"Kode tidak ditemukan"))</f>
        <v/>
      </c>
      <c r="G767" s="4" t="n"/>
      <c r="H767" s="9" t="n"/>
      <c r="I767" s="9" t="n"/>
      <c r="J767" s="18">
        <f>IF($B767="","",MONTH($B767))</f>
        <v/>
      </c>
      <c r="K767" s="18">
        <f>IF($B767="","",YEAR($B767))</f>
        <v/>
      </c>
    </row>
    <row r="768">
      <c r="A768" s="13">
        <f>IF($B768="","",ROW()-9)</f>
        <v/>
      </c>
      <c r="B768" s="14" t="n"/>
      <c r="C768" s="15" t="n"/>
      <c r="D768" s="15" t="n"/>
      <c r="E768" s="15" t="n"/>
      <c r="F768" s="15">
        <f>IF($E768="","",IFERROR(VLOOKUP($E768,AKUN!$A$2:$B$200,2,FALSE),"Kode tidak ditemukan"))</f>
        <v/>
      </c>
      <c r="G768" s="15" t="n"/>
      <c r="H768" s="17" t="n"/>
      <c r="I768" s="17" t="n"/>
      <c r="J768" s="13">
        <f>IF($B768="","",MONTH($B768))</f>
        <v/>
      </c>
      <c r="K768" s="13">
        <f>IF($B768="","",YEAR($B768))</f>
        <v/>
      </c>
    </row>
    <row r="769">
      <c r="A769" s="18">
        <f>IF($B769="","",ROW()-9)</f>
        <v/>
      </c>
      <c r="B769" s="19" t="n"/>
      <c r="C769" s="4" t="n"/>
      <c r="D769" s="4" t="n"/>
      <c r="E769" s="4" t="n"/>
      <c r="F769" s="4">
        <f>IF($E769="","",IFERROR(VLOOKUP($E769,AKUN!$A$2:$B$200,2,FALSE),"Kode tidak ditemukan"))</f>
        <v/>
      </c>
      <c r="G769" s="4" t="n"/>
      <c r="H769" s="9" t="n"/>
      <c r="I769" s="9" t="n"/>
      <c r="J769" s="18">
        <f>IF($B769="","",MONTH($B769))</f>
        <v/>
      </c>
      <c r="K769" s="18">
        <f>IF($B769="","",YEAR($B769))</f>
        <v/>
      </c>
    </row>
    <row r="770">
      <c r="A770" s="13">
        <f>IF($B770="","",ROW()-9)</f>
        <v/>
      </c>
      <c r="B770" s="14" t="n"/>
      <c r="C770" s="15" t="n"/>
      <c r="D770" s="15" t="n"/>
      <c r="E770" s="15" t="n"/>
      <c r="F770" s="15">
        <f>IF($E770="","",IFERROR(VLOOKUP($E770,AKUN!$A$2:$B$200,2,FALSE),"Kode tidak ditemukan"))</f>
        <v/>
      </c>
      <c r="G770" s="15" t="n"/>
      <c r="H770" s="17" t="n"/>
      <c r="I770" s="17" t="n"/>
      <c r="J770" s="13">
        <f>IF($B770="","",MONTH($B770))</f>
        <v/>
      </c>
      <c r="K770" s="13">
        <f>IF($B770="","",YEAR($B770))</f>
        <v/>
      </c>
    </row>
    <row r="771">
      <c r="A771" s="18">
        <f>IF($B771="","",ROW()-9)</f>
        <v/>
      </c>
      <c r="B771" s="19" t="n"/>
      <c r="C771" s="4" t="n"/>
      <c r="D771" s="4" t="n"/>
      <c r="E771" s="4" t="n"/>
      <c r="F771" s="4">
        <f>IF($E771="","",IFERROR(VLOOKUP($E771,AKUN!$A$2:$B$200,2,FALSE),"Kode tidak ditemukan"))</f>
        <v/>
      </c>
      <c r="G771" s="4" t="n"/>
      <c r="H771" s="9" t="n"/>
      <c r="I771" s="9" t="n"/>
      <c r="J771" s="18">
        <f>IF($B771="","",MONTH($B771))</f>
        <v/>
      </c>
      <c r="K771" s="18">
        <f>IF($B771="","",YEAR($B771))</f>
        <v/>
      </c>
    </row>
    <row r="772">
      <c r="A772" s="13">
        <f>IF($B772="","",ROW()-9)</f>
        <v/>
      </c>
      <c r="B772" s="14" t="n"/>
      <c r="C772" s="15" t="n"/>
      <c r="D772" s="15" t="n"/>
      <c r="E772" s="15" t="n"/>
      <c r="F772" s="15">
        <f>IF($E772="","",IFERROR(VLOOKUP($E772,AKUN!$A$2:$B$200,2,FALSE),"Kode tidak ditemukan"))</f>
        <v/>
      </c>
      <c r="G772" s="15" t="n"/>
      <c r="H772" s="17" t="n"/>
      <c r="I772" s="17" t="n"/>
      <c r="J772" s="13">
        <f>IF($B772="","",MONTH($B772))</f>
        <v/>
      </c>
      <c r="K772" s="13">
        <f>IF($B772="","",YEAR($B772))</f>
        <v/>
      </c>
    </row>
    <row r="773">
      <c r="A773" s="18">
        <f>IF($B773="","",ROW()-9)</f>
        <v/>
      </c>
      <c r="B773" s="19" t="n"/>
      <c r="C773" s="4" t="n"/>
      <c r="D773" s="4" t="n"/>
      <c r="E773" s="4" t="n"/>
      <c r="F773" s="4">
        <f>IF($E773="","",IFERROR(VLOOKUP($E773,AKUN!$A$2:$B$200,2,FALSE),"Kode tidak ditemukan"))</f>
        <v/>
      </c>
      <c r="G773" s="4" t="n"/>
      <c r="H773" s="9" t="n"/>
      <c r="I773" s="9" t="n"/>
      <c r="J773" s="18">
        <f>IF($B773="","",MONTH($B773))</f>
        <v/>
      </c>
      <c r="K773" s="18">
        <f>IF($B773="","",YEAR($B773))</f>
        <v/>
      </c>
    </row>
    <row r="774">
      <c r="A774" s="13">
        <f>IF($B774="","",ROW()-9)</f>
        <v/>
      </c>
      <c r="B774" s="14" t="n"/>
      <c r="C774" s="15" t="n"/>
      <c r="D774" s="15" t="n"/>
      <c r="E774" s="15" t="n"/>
      <c r="F774" s="15">
        <f>IF($E774="","",IFERROR(VLOOKUP($E774,AKUN!$A$2:$B$200,2,FALSE),"Kode tidak ditemukan"))</f>
        <v/>
      </c>
      <c r="G774" s="15" t="n"/>
      <c r="H774" s="17" t="n"/>
      <c r="I774" s="17" t="n"/>
      <c r="J774" s="13">
        <f>IF($B774="","",MONTH($B774))</f>
        <v/>
      </c>
      <c r="K774" s="13">
        <f>IF($B774="","",YEAR($B774))</f>
        <v/>
      </c>
    </row>
    <row r="775">
      <c r="A775" s="18">
        <f>IF($B775="","",ROW()-9)</f>
        <v/>
      </c>
      <c r="B775" s="19" t="n"/>
      <c r="C775" s="4" t="n"/>
      <c r="D775" s="4" t="n"/>
      <c r="E775" s="4" t="n"/>
      <c r="F775" s="4">
        <f>IF($E775="","",IFERROR(VLOOKUP($E775,AKUN!$A$2:$B$200,2,FALSE),"Kode tidak ditemukan"))</f>
        <v/>
      </c>
      <c r="G775" s="4" t="n"/>
      <c r="H775" s="9" t="n"/>
      <c r="I775" s="9" t="n"/>
      <c r="J775" s="18">
        <f>IF($B775="","",MONTH($B775))</f>
        <v/>
      </c>
      <c r="K775" s="18">
        <f>IF($B775="","",YEAR($B775))</f>
        <v/>
      </c>
    </row>
    <row r="776">
      <c r="A776" s="13">
        <f>IF($B776="","",ROW()-9)</f>
        <v/>
      </c>
      <c r="B776" s="14" t="n"/>
      <c r="C776" s="15" t="n"/>
      <c r="D776" s="15" t="n"/>
      <c r="E776" s="15" t="n"/>
      <c r="F776" s="15">
        <f>IF($E776="","",IFERROR(VLOOKUP($E776,AKUN!$A$2:$B$200,2,FALSE),"Kode tidak ditemukan"))</f>
        <v/>
      </c>
      <c r="G776" s="15" t="n"/>
      <c r="H776" s="17" t="n"/>
      <c r="I776" s="17" t="n"/>
      <c r="J776" s="13">
        <f>IF($B776="","",MONTH($B776))</f>
        <v/>
      </c>
      <c r="K776" s="13">
        <f>IF($B776="","",YEAR($B776))</f>
        <v/>
      </c>
    </row>
    <row r="777">
      <c r="A777" s="18">
        <f>IF($B777="","",ROW()-9)</f>
        <v/>
      </c>
      <c r="B777" s="19" t="n"/>
      <c r="C777" s="4" t="n"/>
      <c r="D777" s="4" t="n"/>
      <c r="E777" s="4" t="n"/>
      <c r="F777" s="4">
        <f>IF($E777="","",IFERROR(VLOOKUP($E777,AKUN!$A$2:$B$200,2,FALSE),"Kode tidak ditemukan"))</f>
        <v/>
      </c>
      <c r="G777" s="4" t="n"/>
      <c r="H777" s="9" t="n"/>
      <c r="I777" s="9" t="n"/>
      <c r="J777" s="18">
        <f>IF($B777="","",MONTH($B777))</f>
        <v/>
      </c>
      <c r="K777" s="18">
        <f>IF($B777="","",YEAR($B777))</f>
        <v/>
      </c>
    </row>
    <row r="778">
      <c r="A778" s="13">
        <f>IF($B778="","",ROW()-9)</f>
        <v/>
      </c>
      <c r="B778" s="14" t="n"/>
      <c r="C778" s="15" t="n"/>
      <c r="D778" s="15" t="n"/>
      <c r="E778" s="15" t="n"/>
      <c r="F778" s="15">
        <f>IF($E778="","",IFERROR(VLOOKUP($E778,AKUN!$A$2:$B$200,2,FALSE),"Kode tidak ditemukan"))</f>
        <v/>
      </c>
      <c r="G778" s="15" t="n"/>
      <c r="H778" s="17" t="n"/>
      <c r="I778" s="17" t="n"/>
      <c r="J778" s="13">
        <f>IF($B778="","",MONTH($B778))</f>
        <v/>
      </c>
      <c r="K778" s="13">
        <f>IF($B778="","",YEAR($B778))</f>
        <v/>
      </c>
    </row>
    <row r="779">
      <c r="A779" s="18">
        <f>IF($B779="","",ROW()-9)</f>
        <v/>
      </c>
      <c r="B779" s="19" t="n"/>
      <c r="C779" s="4" t="n"/>
      <c r="D779" s="4" t="n"/>
      <c r="E779" s="4" t="n"/>
      <c r="F779" s="4">
        <f>IF($E779="","",IFERROR(VLOOKUP($E779,AKUN!$A$2:$B$200,2,FALSE),"Kode tidak ditemukan"))</f>
        <v/>
      </c>
      <c r="G779" s="4" t="n"/>
      <c r="H779" s="9" t="n"/>
      <c r="I779" s="9" t="n"/>
      <c r="J779" s="18">
        <f>IF($B779="","",MONTH($B779))</f>
        <v/>
      </c>
      <c r="K779" s="18">
        <f>IF($B779="","",YEAR($B779))</f>
        <v/>
      </c>
    </row>
    <row r="780">
      <c r="A780" s="13">
        <f>IF($B780="","",ROW()-9)</f>
        <v/>
      </c>
      <c r="B780" s="14" t="n"/>
      <c r="C780" s="15" t="n"/>
      <c r="D780" s="15" t="n"/>
      <c r="E780" s="15" t="n"/>
      <c r="F780" s="15">
        <f>IF($E780="","",IFERROR(VLOOKUP($E780,AKUN!$A$2:$B$200,2,FALSE),"Kode tidak ditemukan"))</f>
        <v/>
      </c>
      <c r="G780" s="15" t="n"/>
      <c r="H780" s="17" t="n"/>
      <c r="I780" s="17" t="n"/>
      <c r="J780" s="13">
        <f>IF($B780="","",MONTH($B780))</f>
        <v/>
      </c>
      <c r="K780" s="13">
        <f>IF($B780="","",YEAR($B780))</f>
        <v/>
      </c>
    </row>
    <row r="781">
      <c r="A781" s="18">
        <f>IF($B781="","",ROW()-9)</f>
        <v/>
      </c>
      <c r="B781" s="19" t="n"/>
      <c r="C781" s="4" t="n"/>
      <c r="D781" s="4" t="n"/>
      <c r="E781" s="4" t="n"/>
      <c r="F781" s="4">
        <f>IF($E781="","",IFERROR(VLOOKUP($E781,AKUN!$A$2:$B$200,2,FALSE),"Kode tidak ditemukan"))</f>
        <v/>
      </c>
      <c r="G781" s="4" t="n"/>
      <c r="H781" s="9" t="n"/>
      <c r="I781" s="9" t="n"/>
      <c r="J781" s="18">
        <f>IF($B781="","",MONTH($B781))</f>
        <v/>
      </c>
      <c r="K781" s="18">
        <f>IF($B781="","",YEAR($B781))</f>
        <v/>
      </c>
    </row>
    <row r="782">
      <c r="A782" s="13">
        <f>IF($B782="","",ROW()-9)</f>
        <v/>
      </c>
      <c r="B782" s="14" t="n"/>
      <c r="C782" s="15" t="n"/>
      <c r="D782" s="15" t="n"/>
      <c r="E782" s="15" t="n"/>
      <c r="F782" s="15">
        <f>IF($E782="","",IFERROR(VLOOKUP($E782,AKUN!$A$2:$B$200,2,FALSE),"Kode tidak ditemukan"))</f>
        <v/>
      </c>
      <c r="G782" s="15" t="n"/>
      <c r="H782" s="17" t="n"/>
      <c r="I782" s="17" t="n"/>
      <c r="J782" s="13">
        <f>IF($B782="","",MONTH($B782))</f>
        <v/>
      </c>
      <c r="K782" s="13">
        <f>IF($B782="","",YEAR($B782))</f>
        <v/>
      </c>
    </row>
    <row r="783">
      <c r="A783" s="18">
        <f>IF($B783="","",ROW()-9)</f>
        <v/>
      </c>
      <c r="B783" s="19" t="n"/>
      <c r="C783" s="4" t="n"/>
      <c r="D783" s="4" t="n"/>
      <c r="E783" s="4" t="n"/>
      <c r="F783" s="4">
        <f>IF($E783="","",IFERROR(VLOOKUP($E783,AKUN!$A$2:$B$200,2,FALSE),"Kode tidak ditemukan"))</f>
        <v/>
      </c>
      <c r="G783" s="4" t="n"/>
      <c r="H783" s="9" t="n"/>
      <c r="I783" s="9" t="n"/>
      <c r="J783" s="18">
        <f>IF($B783="","",MONTH($B783))</f>
        <v/>
      </c>
      <c r="K783" s="18">
        <f>IF($B783="","",YEAR($B783))</f>
        <v/>
      </c>
    </row>
    <row r="784">
      <c r="A784" s="13">
        <f>IF($B784="","",ROW()-9)</f>
        <v/>
      </c>
      <c r="B784" s="14" t="n"/>
      <c r="C784" s="15" t="n"/>
      <c r="D784" s="15" t="n"/>
      <c r="E784" s="15" t="n"/>
      <c r="F784" s="15">
        <f>IF($E784="","",IFERROR(VLOOKUP($E784,AKUN!$A$2:$B$200,2,FALSE),"Kode tidak ditemukan"))</f>
        <v/>
      </c>
      <c r="G784" s="15" t="n"/>
      <c r="H784" s="17" t="n"/>
      <c r="I784" s="17" t="n"/>
      <c r="J784" s="13">
        <f>IF($B784="","",MONTH($B784))</f>
        <v/>
      </c>
      <c r="K784" s="13">
        <f>IF($B784="","",YEAR($B784))</f>
        <v/>
      </c>
    </row>
    <row r="785">
      <c r="A785" s="18">
        <f>IF($B785="","",ROW()-9)</f>
        <v/>
      </c>
      <c r="B785" s="19" t="n"/>
      <c r="C785" s="4" t="n"/>
      <c r="D785" s="4" t="n"/>
      <c r="E785" s="4" t="n"/>
      <c r="F785" s="4">
        <f>IF($E785="","",IFERROR(VLOOKUP($E785,AKUN!$A$2:$B$200,2,FALSE),"Kode tidak ditemukan"))</f>
        <v/>
      </c>
      <c r="G785" s="4" t="n"/>
      <c r="H785" s="9" t="n"/>
      <c r="I785" s="9" t="n"/>
      <c r="J785" s="18">
        <f>IF($B785="","",MONTH($B785))</f>
        <v/>
      </c>
      <c r="K785" s="18">
        <f>IF($B785="","",YEAR($B785))</f>
        <v/>
      </c>
    </row>
    <row r="786">
      <c r="A786" s="13">
        <f>IF($B786="","",ROW()-9)</f>
        <v/>
      </c>
      <c r="B786" s="14" t="n"/>
      <c r="C786" s="15" t="n"/>
      <c r="D786" s="15" t="n"/>
      <c r="E786" s="15" t="n"/>
      <c r="F786" s="15">
        <f>IF($E786="","",IFERROR(VLOOKUP($E786,AKUN!$A$2:$B$200,2,FALSE),"Kode tidak ditemukan"))</f>
        <v/>
      </c>
      <c r="G786" s="15" t="n"/>
      <c r="H786" s="17" t="n"/>
      <c r="I786" s="17" t="n"/>
      <c r="J786" s="13">
        <f>IF($B786="","",MONTH($B786))</f>
        <v/>
      </c>
      <c r="K786" s="13">
        <f>IF($B786="","",YEAR($B786))</f>
        <v/>
      </c>
    </row>
    <row r="787">
      <c r="A787" s="18">
        <f>IF($B787="","",ROW()-9)</f>
        <v/>
      </c>
      <c r="B787" s="19" t="n"/>
      <c r="C787" s="4" t="n"/>
      <c r="D787" s="4" t="n"/>
      <c r="E787" s="4" t="n"/>
      <c r="F787" s="4">
        <f>IF($E787="","",IFERROR(VLOOKUP($E787,AKUN!$A$2:$B$200,2,FALSE),"Kode tidak ditemukan"))</f>
        <v/>
      </c>
      <c r="G787" s="4" t="n"/>
      <c r="H787" s="9" t="n"/>
      <c r="I787" s="9" t="n"/>
      <c r="J787" s="18">
        <f>IF($B787="","",MONTH($B787))</f>
        <v/>
      </c>
      <c r="K787" s="18">
        <f>IF($B787="","",YEAR($B787))</f>
        <v/>
      </c>
    </row>
    <row r="788">
      <c r="A788" s="13">
        <f>IF($B788="","",ROW()-9)</f>
        <v/>
      </c>
      <c r="B788" s="14" t="n"/>
      <c r="C788" s="15" t="n"/>
      <c r="D788" s="15" t="n"/>
      <c r="E788" s="15" t="n"/>
      <c r="F788" s="15">
        <f>IF($E788="","",IFERROR(VLOOKUP($E788,AKUN!$A$2:$B$200,2,FALSE),"Kode tidak ditemukan"))</f>
        <v/>
      </c>
      <c r="G788" s="15" t="n"/>
      <c r="H788" s="17" t="n"/>
      <c r="I788" s="17" t="n"/>
      <c r="J788" s="13">
        <f>IF($B788="","",MONTH($B788))</f>
        <v/>
      </c>
      <c r="K788" s="13">
        <f>IF($B788="","",YEAR($B788))</f>
        <v/>
      </c>
    </row>
    <row r="789">
      <c r="A789" s="18">
        <f>IF($B789="","",ROW()-9)</f>
        <v/>
      </c>
      <c r="B789" s="19" t="n"/>
      <c r="C789" s="4" t="n"/>
      <c r="D789" s="4" t="n"/>
      <c r="E789" s="4" t="n"/>
      <c r="F789" s="4">
        <f>IF($E789="","",IFERROR(VLOOKUP($E789,AKUN!$A$2:$B$200,2,FALSE),"Kode tidak ditemukan"))</f>
        <v/>
      </c>
      <c r="G789" s="4" t="n"/>
      <c r="H789" s="9" t="n"/>
      <c r="I789" s="9" t="n"/>
      <c r="J789" s="18">
        <f>IF($B789="","",MONTH($B789))</f>
        <v/>
      </c>
      <c r="K789" s="18">
        <f>IF($B789="","",YEAR($B789))</f>
        <v/>
      </c>
    </row>
    <row r="790">
      <c r="A790" s="13">
        <f>IF($B790="","",ROW()-9)</f>
        <v/>
      </c>
      <c r="B790" s="14" t="n"/>
      <c r="C790" s="15" t="n"/>
      <c r="D790" s="15" t="n"/>
      <c r="E790" s="15" t="n"/>
      <c r="F790" s="15">
        <f>IF($E790="","",IFERROR(VLOOKUP($E790,AKUN!$A$2:$B$200,2,FALSE),"Kode tidak ditemukan"))</f>
        <v/>
      </c>
      <c r="G790" s="15" t="n"/>
      <c r="H790" s="17" t="n"/>
      <c r="I790" s="17" t="n"/>
      <c r="J790" s="13">
        <f>IF($B790="","",MONTH($B790))</f>
        <v/>
      </c>
      <c r="K790" s="13">
        <f>IF($B790="","",YEAR($B790))</f>
        <v/>
      </c>
    </row>
    <row r="791">
      <c r="A791" s="18">
        <f>IF($B791="","",ROW()-9)</f>
        <v/>
      </c>
      <c r="B791" s="19" t="n"/>
      <c r="C791" s="4" t="n"/>
      <c r="D791" s="4" t="n"/>
      <c r="E791" s="4" t="n"/>
      <c r="F791" s="4">
        <f>IF($E791="","",IFERROR(VLOOKUP($E791,AKUN!$A$2:$B$200,2,FALSE),"Kode tidak ditemukan"))</f>
        <v/>
      </c>
      <c r="G791" s="4" t="n"/>
      <c r="H791" s="9" t="n"/>
      <c r="I791" s="9" t="n"/>
      <c r="J791" s="18">
        <f>IF($B791="","",MONTH($B791))</f>
        <v/>
      </c>
      <c r="K791" s="18">
        <f>IF($B791="","",YEAR($B791))</f>
        <v/>
      </c>
    </row>
    <row r="792">
      <c r="A792" s="13">
        <f>IF($B792="","",ROW()-9)</f>
        <v/>
      </c>
      <c r="B792" s="14" t="n"/>
      <c r="C792" s="15" t="n"/>
      <c r="D792" s="15" t="n"/>
      <c r="E792" s="15" t="n"/>
      <c r="F792" s="15">
        <f>IF($E792="","",IFERROR(VLOOKUP($E792,AKUN!$A$2:$B$200,2,FALSE),"Kode tidak ditemukan"))</f>
        <v/>
      </c>
      <c r="G792" s="15" t="n"/>
      <c r="H792" s="17" t="n"/>
      <c r="I792" s="17" t="n"/>
      <c r="J792" s="13">
        <f>IF($B792="","",MONTH($B792))</f>
        <v/>
      </c>
      <c r="K792" s="13">
        <f>IF($B792="","",YEAR($B792))</f>
        <v/>
      </c>
    </row>
    <row r="793">
      <c r="A793" s="18">
        <f>IF($B793="","",ROW()-9)</f>
        <v/>
      </c>
      <c r="B793" s="19" t="n"/>
      <c r="C793" s="4" t="n"/>
      <c r="D793" s="4" t="n"/>
      <c r="E793" s="4" t="n"/>
      <c r="F793" s="4">
        <f>IF($E793="","",IFERROR(VLOOKUP($E793,AKUN!$A$2:$B$200,2,FALSE),"Kode tidak ditemukan"))</f>
        <v/>
      </c>
      <c r="G793" s="4" t="n"/>
      <c r="H793" s="9" t="n"/>
      <c r="I793" s="9" t="n"/>
      <c r="J793" s="18">
        <f>IF($B793="","",MONTH($B793))</f>
        <v/>
      </c>
      <c r="K793" s="18">
        <f>IF($B793="","",YEAR($B793))</f>
        <v/>
      </c>
    </row>
    <row r="794">
      <c r="A794" s="13">
        <f>IF($B794="","",ROW()-9)</f>
        <v/>
      </c>
      <c r="B794" s="14" t="n"/>
      <c r="C794" s="15" t="n"/>
      <c r="D794" s="15" t="n"/>
      <c r="E794" s="15" t="n"/>
      <c r="F794" s="15">
        <f>IF($E794="","",IFERROR(VLOOKUP($E794,AKUN!$A$2:$B$200,2,FALSE),"Kode tidak ditemukan"))</f>
        <v/>
      </c>
      <c r="G794" s="15" t="n"/>
      <c r="H794" s="17" t="n"/>
      <c r="I794" s="17" t="n"/>
      <c r="J794" s="13">
        <f>IF($B794="","",MONTH($B794))</f>
        <v/>
      </c>
      <c r="K794" s="13">
        <f>IF($B794="","",YEAR($B794))</f>
        <v/>
      </c>
    </row>
    <row r="795">
      <c r="A795" s="18">
        <f>IF($B795="","",ROW()-9)</f>
        <v/>
      </c>
      <c r="B795" s="19" t="n"/>
      <c r="C795" s="4" t="n"/>
      <c r="D795" s="4" t="n"/>
      <c r="E795" s="4" t="n"/>
      <c r="F795" s="4">
        <f>IF($E795="","",IFERROR(VLOOKUP($E795,AKUN!$A$2:$B$200,2,FALSE),"Kode tidak ditemukan"))</f>
        <v/>
      </c>
      <c r="G795" s="4" t="n"/>
      <c r="H795" s="9" t="n"/>
      <c r="I795" s="9" t="n"/>
      <c r="J795" s="18">
        <f>IF($B795="","",MONTH($B795))</f>
        <v/>
      </c>
      <c r="K795" s="18">
        <f>IF($B795="","",YEAR($B795))</f>
        <v/>
      </c>
    </row>
    <row r="796">
      <c r="A796" s="13">
        <f>IF($B796="","",ROW()-9)</f>
        <v/>
      </c>
      <c r="B796" s="14" t="n"/>
      <c r="C796" s="15" t="n"/>
      <c r="D796" s="15" t="n"/>
      <c r="E796" s="15" t="n"/>
      <c r="F796" s="15">
        <f>IF($E796="","",IFERROR(VLOOKUP($E796,AKUN!$A$2:$B$200,2,FALSE),"Kode tidak ditemukan"))</f>
        <v/>
      </c>
      <c r="G796" s="15" t="n"/>
      <c r="H796" s="17" t="n"/>
      <c r="I796" s="17" t="n"/>
      <c r="J796" s="13">
        <f>IF($B796="","",MONTH($B796))</f>
        <v/>
      </c>
      <c r="K796" s="13">
        <f>IF($B796="","",YEAR($B796))</f>
        <v/>
      </c>
    </row>
    <row r="797">
      <c r="A797" s="18">
        <f>IF($B797="","",ROW()-9)</f>
        <v/>
      </c>
      <c r="B797" s="19" t="n"/>
      <c r="C797" s="4" t="n"/>
      <c r="D797" s="4" t="n"/>
      <c r="E797" s="4" t="n"/>
      <c r="F797" s="4">
        <f>IF($E797="","",IFERROR(VLOOKUP($E797,AKUN!$A$2:$B$200,2,FALSE),"Kode tidak ditemukan"))</f>
        <v/>
      </c>
      <c r="G797" s="4" t="n"/>
      <c r="H797" s="9" t="n"/>
      <c r="I797" s="9" t="n"/>
      <c r="J797" s="18">
        <f>IF($B797="","",MONTH($B797))</f>
        <v/>
      </c>
      <c r="K797" s="18">
        <f>IF($B797="","",YEAR($B797))</f>
        <v/>
      </c>
    </row>
    <row r="798">
      <c r="A798" s="13">
        <f>IF($B798="","",ROW()-9)</f>
        <v/>
      </c>
      <c r="B798" s="14" t="n"/>
      <c r="C798" s="15" t="n"/>
      <c r="D798" s="15" t="n"/>
      <c r="E798" s="15" t="n"/>
      <c r="F798" s="15">
        <f>IF($E798="","",IFERROR(VLOOKUP($E798,AKUN!$A$2:$B$200,2,FALSE),"Kode tidak ditemukan"))</f>
        <v/>
      </c>
      <c r="G798" s="15" t="n"/>
      <c r="H798" s="17" t="n"/>
      <c r="I798" s="17" t="n"/>
      <c r="J798" s="13">
        <f>IF($B798="","",MONTH($B798))</f>
        <v/>
      </c>
      <c r="K798" s="13">
        <f>IF($B798="","",YEAR($B798))</f>
        <v/>
      </c>
    </row>
    <row r="799">
      <c r="A799" s="18">
        <f>IF($B799="","",ROW()-9)</f>
        <v/>
      </c>
      <c r="B799" s="19" t="n"/>
      <c r="C799" s="4" t="n"/>
      <c r="D799" s="4" t="n"/>
      <c r="E799" s="4" t="n"/>
      <c r="F799" s="4">
        <f>IF($E799="","",IFERROR(VLOOKUP($E799,AKUN!$A$2:$B$200,2,FALSE),"Kode tidak ditemukan"))</f>
        <v/>
      </c>
      <c r="G799" s="4" t="n"/>
      <c r="H799" s="9" t="n"/>
      <c r="I799" s="9" t="n"/>
      <c r="J799" s="18">
        <f>IF($B799="","",MONTH($B799))</f>
        <v/>
      </c>
      <c r="K799" s="18">
        <f>IF($B799="","",YEAR($B799))</f>
        <v/>
      </c>
    </row>
    <row r="800">
      <c r="A800" s="13">
        <f>IF($B800="","",ROW()-9)</f>
        <v/>
      </c>
      <c r="B800" s="14" t="n"/>
      <c r="C800" s="15" t="n"/>
      <c r="D800" s="15" t="n"/>
      <c r="E800" s="15" t="n"/>
      <c r="F800" s="15">
        <f>IF($E800="","",IFERROR(VLOOKUP($E800,AKUN!$A$2:$B$200,2,FALSE),"Kode tidak ditemukan"))</f>
        <v/>
      </c>
      <c r="G800" s="15" t="n"/>
      <c r="H800" s="17" t="n"/>
      <c r="I800" s="17" t="n"/>
      <c r="J800" s="13">
        <f>IF($B800="","",MONTH($B800))</f>
        <v/>
      </c>
      <c r="K800" s="13">
        <f>IF($B800="","",YEAR($B800))</f>
        <v/>
      </c>
    </row>
    <row r="801">
      <c r="A801" s="18">
        <f>IF($B801="","",ROW()-9)</f>
        <v/>
      </c>
      <c r="B801" s="19" t="n"/>
      <c r="C801" s="4" t="n"/>
      <c r="D801" s="4" t="n"/>
      <c r="E801" s="4" t="n"/>
      <c r="F801" s="4">
        <f>IF($E801="","",IFERROR(VLOOKUP($E801,AKUN!$A$2:$B$200,2,FALSE),"Kode tidak ditemukan"))</f>
        <v/>
      </c>
      <c r="G801" s="4" t="n"/>
      <c r="H801" s="9" t="n"/>
      <c r="I801" s="9" t="n"/>
      <c r="J801" s="18">
        <f>IF($B801="","",MONTH($B801))</f>
        <v/>
      </c>
      <c r="K801" s="18">
        <f>IF($B801="","",YEAR($B801))</f>
        <v/>
      </c>
    </row>
    <row r="802">
      <c r="A802" s="13">
        <f>IF($B802="","",ROW()-9)</f>
        <v/>
      </c>
      <c r="B802" s="14" t="n"/>
      <c r="C802" s="15" t="n"/>
      <c r="D802" s="15" t="n"/>
      <c r="E802" s="15" t="n"/>
      <c r="F802" s="15">
        <f>IF($E802="","",IFERROR(VLOOKUP($E802,AKUN!$A$2:$B$200,2,FALSE),"Kode tidak ditemukan"))</f>
        <v/>
      </c>
      <c r="G802" s="15" t="n"/>
      <c r="H802" s="17" t="n"/>
      <c r="I802" s="17" t="n"/>
      <c r="J802" s="13">
        <f>IF($B802="","",MONTH($B802))</f>
        <v/>
      </c>
      <c r="K802" s="13">
        <f>IF($B802="","",YEAR($B802))</f>
        <v/>
      </c>
    </row>
    <row r="803">
      <c r="A803" s="18">
        <f>IF($B803="","",ROW()-9)</f>
        <v/>
      </c>
      <c r="B803" s="19" t="n"/>
      <c r="C803" s="4" t="n"/>
      <c r="D803" s="4" t="n"/>
      <c r="E803" s="4" t="n"/>
      <c r="F803" s="4">
        <f>IF($E803="","",IFERROR(VLOOKUP($E803,AKUN!$A$2:$B$200,2,FALSE),"Kode tidak ditemukan"))</f>
        <v/>
      </c>
      <c r="G803" s="4" t="n"/>
      <c r="H803" s="9" t="n"/>
      <c r="I803" s="9" t="n"/>
      <c r="J803" s="18">
        <f>IF($B803="","",MONTH($B803))</f>
        <v/>
      </c>
      <c r="K803" s="18">
        <f>IF($B803="","",YEAR($B803))</f>
        <v/>
      </c>
    </row>
    <row r="804">
      <c r="A804" s="13">
        <f>IF($B804="","",ROW()-9)</f>
        <v/>
      </c>
      <c r="B804" s="14" t="n"/>
      <c r="C804" s="15" t="n"/>
      <c r="D804" s="15" t="n"/>
      <c r="E804" s="15" t="n"/>
      <c r="F804" s="15">
        <f>IF($E804="","",IFERROR(VLOOKUP($E804,AKUN!$A$2:$B$200,2,FALSE),"Kode tidak ditemukan"))</f>
        <v/>
      </c>
      <c r="G804" s="15" t="n"/>
      <c r="H804" s="17" t="n"/>
      <c r="I804" s="17" t="n"/>
      <c r="J804" s="13">
        <f>IF($B804="","",MONTH($B804))</f>
        <v/>
      </c>
      <c r="K804" s="13">
        <f>IF($B804="","",YEAR($B804))</f>
        <v/>
      </c>
    </row>
    <row r="805">
      <c r="A805" s="18">
        <f>IF($B805="","",ROW()-9)</f>
        <v/>
      </c>
      <c r="B805" s="19" t="n"/>
      <c r="C805" s="4" t="n"/>
      <c r="D805" s="4" t="n"/>
      <c r="E805" s="4" t="n"/>
      <c r="F805" s="4">
        <f>IF($E805="","",IFERROR(VLOOKUP($E805,AKUN!$A$2:$B$200,2,FALSE),"Kode tidak ditemukan"))</f>
        <v/>
      </c>
      <c r="G805" s="4" t="n"/>
      <c r="H805" s="9" t="n"/>
      <c r="I805" s="9" t="n"/>
      <c r="J805" s="18">
        <f>IF($B805="","",MONTH($B805))</f>
        <v/>
      </c>
      <c r="K805" s="18">
        <f>IF($B805="","",YEAR($B805))</f>
        <v/>
      </c>
    </row>
    <row r="806">
      <c r="A806" s="13">
        <f>IF($B806="","",ROW()-9)</f>
        <v/>
      </c>
      <c r="B806" s="14" t="n"/>
      <c r="C806" s="15" t="n"/>
      <c r="D806" s="15" t="n"/>
      <c r="E806" s="15" t="n"/>
      <c r="F806" s="15">
        <f>IF($E806="","",IFERROR(VLOOKUP($E806,AKUN!$A$2:$B$200,2,FALSE),"Kode tidak ditemukan"))</f>
        <v/>
      </c>
      <c r="G806" s="15" t="n"/>
      <c r="H806" s="17" t="n"/>
      <c r="I806" s="17" t="n"/>
      <c r="J806" s="13">
        <f>IF($B806="","",MONTH($B806))</f>
        <v/>
      </c>
      <c r="K806" s="13">
        <f>IF($B806="","",YEAR($B806))</f>
        <v/>
      </c>
    </row>
    <row r="807">
      <c r="A807" s="18">
        <f>IF($B807="","",ROW()-9)</f>
        <v/>
      </c>
      <c r="B807" s="19" t="n"/>
      <c r="C807" s="4" t="n"/>
      <c r="D807" s="4" t="n"/>
      <c r="E807" s="4" t="n"/>
      <c r="F807" s="4">
        <f>IF($E807="","",IFERROR(VLOOKUP($E807,AKUN!$A$2:$B$200,2,FALSE),"Kode tidak ditemukan"))</f>
        <v/>
      </c>
      <c r="G807" s="4" t="n"/>
      <c r="H807" s="9" t="n"/>
      <c r="I807" s="9" t="n"/>
      <c r="J807" s="18">
        <f>IF($B807="","",MONTH($B807))</f>
        <v/>
      </c>
      <c r="K807" s="18">
        <f>IF($B807="","",YEAR($B807))</f>
        <v/>
      </c>
    </row>
    <row r="808">
      <c r="A808" s="13">
        <f>IF($B808="","",ROW()-9)</f>
        <v/>
      </c>
      <c r="B808" s="14" t="n"/>
      <c r="C808" s="15" t="n"/>
      <c r="D808" s="15" t="n"/>
      <c r="E808" s="15" t="n"/>
      <c r="F808" s="15">
        <f>IF($E808="","",IFERROR(VLOOKUP($E808,AKUN!$A$2:$B$200,2,FALSE),"Kode tidak ditemukan"))</f>
        <v/>
      </c>
      <c r="G808" s="15" t="n"/>
      <c r="H808" s="17" t="n"/>
      <c r="I808" s="17" t="n"/>
      <c r="J808" s="13">
        <f>IF($B808="","",MONTH($B808))</f>
        <v/>
      </c>
      <c r="K808" s="13">
        <f>IF($B808="","",YEAR($B808))</f>
        <v/>
      </c>
    </row>
    <row r="809">
      <c r="A809" s="18">
        <f>IF($B809="","",ROW()-9)</f>
        <v/>
      </c>
      <c r="B809" s="19" t="n"/>
      <c r="C809" s="4" t="n"/>
      <c r="D809" s="4" t="n"/>
      <c r="E809" s="4" t="n"/>
      <c r="F809" s="4">
        <f>IF($E809="","",IFERROR(VLOOKUP($E809,AKUN!$A$2:$B$200,2,FALSE),"Kode tidak ditemukan"))</f>
        <v/>
      </c>
      <c r="G809" s="4" t="n"/>
      <c r="H809" s="9" t="n"/>
      <c r="I809" s="9" t="n"/>
      <c r="J809" s="18">
        <f>IF($B809="","",MONTH($B809))</f>
        <v/>
      </c>
      <c r="K809" s="18">
        <f>IF($B809="","",YEAR($B809))</f>
        <v/>
      </c>
    </row>
    <row r="810">
      <c r="A810" s="13">
        <f>IF($B810="","",ROW()-9)</f>
        <v/>
      </c>
      <c r="B810" s="14" t="n"/>
      <c r="C810" s="15" t="n"/>
      <c r="D810" s="15" t="n"/>
      <c r="E810" s="15" t="n"/>
      <c r="F810" s="15">
        <f>IF($E810="","",IFERROR(VLOOKUP($E810,AKUN!$A$2:$B$200,2,FALSE),"Kode tidak ditemukan"))</f>
        <v/>
      </c>
      <c r="G810" s="15" t="n"/>
      <c r="H810" s="17" t="n"/>
      <c r="I810" s="17" t="n"/>
      <c r="J810" s="13">
        <f>IF($B810="","",MONTH($B810))</f>
        <v/>
      </c>
      <c r="K810" s="13">
        <f>IF($B810="","",YEAR($B810))</f>
        <v/>
      </c>
    </row>
    <row r="811">
      <c r="A811" s="18">
        <f>IF($B811="","",ROW()-9)</f>
        <v/>
      </c>
      <c r="B811" s="19" t="n"/>
      <c r="C811" s="4" t="n"/>
      <c r="D811" s="4" t="n"/>
      <c r="E811" s="4" t="n"/>
      <c r="F811" s="4">
        <f>IF($E811="","",IFERROR(VLOOKUP($E811,AKUN!$A$2:$B$200,2,FALSE),"Kode tidak ditemukan"))</f>
        <v/>
      </c>
      <c r="G811" s="4" t="n"/>
      <c r="H811" s="9" t="n"/>
      <c r="I811" s="9" t="n"/>
      <c r="J811" s="18">
        <f>IF($B811="","",MONTH($B811))</f>
        <v/>
      </c>
      <c r="K811" s="18">
        <f>IF($B811="","",YEAR($B811))</f>
        <v/>
      </c>
    </row>
    <row r="812">
      <c r="A812" s="13">
        <f>IF($B812="","",ROW()-9)</f>
        <v/>
      </c>
      <c r="B812" s="14" t="n"/>
      <c r="C812" s="15" t="n"/>
      <c r="D812" s="15" t="n"/>
      <c r="E812" s="15" t="n"/>
      <c r="F812" s="15">
        <f>IF($E812="","",IFERROR(VLOOKUP($E812,AKUN!$A$2:$B$200,2,FALSE),"Kode tidak ditemukan"))</f>
        <v/>
      </c>
      <c r="G812" s="15" t="n"/>
      <c r="H812" s="17" t="n"/>
      <c r="I812" s="17" t="n"/>
      <c r="J812" s="13">
        <f>IF($B812="","",MONTH($B812))</f>
        <v/>
      </c>
      <c r="K812" s="13">
        <f>IF($B812="","",YEAR($B812))</f>
        <v/>
      </c>
    </row>
    <row r="813">
      <c r="A813" s="18">
        <f>IF($B813="","",ROW()-9)</f>
        <v/>
      </c>
      <c r="B813" s="19" t="n"/>
      <c r="C813" s="4" t="n"/>
      <c r="D813" s="4" t="n"/>
      <c r="E813" s="4" t="n"/>
      <c r="F813" s="4">
        <f>IF($E813="","",IFERROR(VLOOKUP($E813,AKUN!$A$2:$B$200,2,FALSE),"Kode tidak ditemukan"))</f>
        <v/>
      </c>
      <c r="G813" s="4" t="n"/>
      <c r="H813" s="9" t="n"/>
      <c r="I813" s="9" t="n"/>
      <c r="J813" s="18">
        <f>IF($B813="","",MONTH($B813))</f>
        <v/>
      </c>
      <c r="K813" s="18">
        <f>IF($B813="","",YEAR($B813))</f>
        <v/>
      </c>
    </row>
    <row r="814">
      <c r="A814" s="13">
        <f>IF($B814="","",ROW()-9)</f>
        <v/>
      </c>
      <c r="B814" s="14" t="n"/>
      <c r="C814" s="15" t="n"/>
      <c r="D814" s="15" t="n"/>
      <c r="E814" s="15" t="n"/>
      <c r="F814" s="15">
        <f>IF($E814="","",IFERROR(VLOOKUP($E814,AKUN!$A$2:$B$200,2,FALSE),"Kode tidak ditemukan"))</f>
        <v/>
      </c>
      <c r="G814" s="15" t="n"/>
      <c r="H814" s="17" t="n"/>
      <c r="I814" s="17" t="n"/>
      <c r="J814" s="13">
        <f>IF($B814="","",MONTH($B814))</f>
        <v/>
      </c>
      <c r="K814" s="13">
        <f>IF($B814="","",YEAR($B814))</f>
        <v/>
      </c>
    </row>
    <row r="815">
      <c r="A815" s="18">
        <f>IF($B815="","",ROW()-9)</f>
        <v/>
      </c>
      <c r="B815" s="19" t="n"/>
      <c r="C815" s="4" t="n"/>
      <c r="D815" s="4" t="n"/>
      <c r="E815" s="4" t="n"/>
      <c r="F815" s="4">
        <f>IF($E815="","",IFERROR(VLOOKUP($E815,AKUN!$A$2:$B$200,2,FALSE),"Kode tidak ditemukan"))</f>
        <v/>
      </c>
      <c r="G815" s="4" t="n"/>
      <c r="H815" s="9" t="n"/>
      <c r="I815" s="9" t="n"/>
      <c r="J815" s="18">
        <f>IF($B815="","",MONTH($B815))</f>
        <v/>
      </c>
      <c r="K815" s="18">
        <f>IF($B815="","",YEAR($B815))</f>
        <v/>
      </c>
    </row>
    <row r="816">
      <c r="A816" s="13">
        <f>IF($B816="","",ROW()-9)</f>
        <v/>
      </c>
      <c r="B816" s="14" t="n"/>
      <c r="C816" s="15" t="n"/>
      <c r="D816" s="15" t="n"/>
      <c r="E816" s="15" t="n"/>
      <c r="F816" s="15">
        <f>IF($E816="","",IFERROR(VLOOKUP($E816,AKUN!$A$2:$B$200,2,FALSE),"Kode tidak ditemukan"))</f>
        <v/>
      </c>
      <c r="G816" s="15" t="n"/>
      <c r="H816" s="17" t="n"/>
      <c r="I816" s="17" t="n"/>
      <c r="J816" s="13">
        <f>IF($B816="","",MONTH($B816))</f>
        <v/>
      </c>
      <c r="K816" s="13">
        <f>IF($B816="","",YEAR($B816))</f>
        <v/>
      </c>
    </row>
    <row r="817">
      <c r="A817" s="18">
        <f>IF($B817="","",ROW()-9)</f>
        <v/>
      </c>
      <c r="B817" s="19" t="n"/>
      <c r="C817" s="4" t="n"/>
      <c r="D817" s="4" t="n"/>
      <c r="E817" s="4" t="n"/>
      <c r="F817" s="4">
        <f>IF($E817="","",IFERROR(VLOOKUP($E817,AKUN!$A$2:$B$200,2,FALSE),"Kode tidak ditemukan"))</f>
        <v/>
      </c>
      <c r="G817" s="4" t="n"/>
      <c r="H817" s="9" t="n"/>
      <c r="I817" s="9" t="n"/>
      <c r="J817" s="18">
        <f>IF($B817="","",MONTH($B817))</f>
        <v/>
      </c>
      <c r="K817" s="18">
        <f>IF($B817="","",YEAR($B817))</f>
        <v/>
      </c>
    </row>
    <row r="818">
      <c r="A818" s="13">
        <f>IF($B818="","",ROW()-9)</f>
        <v/>
      </c>
      <c r="B818" s="14" t="n"/>
      <c r="C818" s="15" t="n"/>
      <c r="D818" s="15" t="n"/>
      <c r="E818" s="15" t="n"/>
      <c r="F818" s="15">
        <f>IF($E818="","",IFERROR(VLOOKUP($E818,AKUN!$A$2:$B$200,2,FALSE),"Kode tidak ditemukan"))</f>
        <v/>
      </c>
      <c r="G818" s="15" t="n"/>
      <c r="H818" s="17" t="n"/>
      <c r="I818" s="17" t="n"/>
      <c r="J818" s="13">
        <f>IF($B818="","",MONTH($B818))</f>
        <v/>
      </c>
      <c r="K818" s="13">
        <f>IF($B818="","",YEAR($B818))</f>
        <v/>
      </c>
    </row>
    <row r="819">
      <c r="A819" s="18">
        <f>IF($B819="","",ROW()-9)</f>
        <v/>
      </c>
      <c r="B819" s="19" t="n"/>
      <c r="C819" s="4" t="n"/>
      <c r="D819" s="4" t="n"/>
      <c r="E819" s="4" t="n"/>
      <c r="F819" s="4">
        <f>IF($E819="","",IFERROR(VLOOKUP($E819,AKUN!$A$2:$B$200,2,FALSE),"Kode tidak ditemukan"))</f>
        <v/>
      </c>
      <c r="G819" s="4" t="n"/>
      <c r="H819" s="9" t="n"/>
      <c r="I819" s="9" t="n"/>
      <c r="J819" s="18">
        <f>IF($B819="","",MONTH($B819))</f>
        <v/>
      </c>
      <c r="K819" s="18">
        <f>IF($B819="","",YEAR($B819))</f>
        <v/>
      </c>
    </row>
    <row r="820">
      <c r="A820" s="13">
        <f>IF($B820="","",ROW()-9)</f>
        <v/>
      </c>
      <c r="B820" s="14" t="n"/>
      <c r="C820" s="15" t="n"/>
      <c r="D820" s="15" t="n"/>
      <c r="E820" s="15" t="n"/>
      <c r="F820" s="15">
        <f>IF($E820="","",IFERROR(VLOOKUP($E820,AKUN!$A$2:$B$200,2,FALSE),"Kode tidak ditemukan"))</f>
        <v/>
      </c>
      <c r="G820" s="15" t="n"/>
      <c r="H820" s="17" t="n"/>
      <c r="I820" s="17" t="n"/>
      <c r="J820" s="13">
        <f>IF($B820="","",MONTH($B820))</f>
        <v/>
      </c>
      <c r="K820" s="13">
        <f>IF($B820="","",YEAR($B820))</f>
        <v/>
      </c>
    </row>
    <row r="821">
      <c r="A821" s="18">
        <f>IF($B821="","",ROW()-9)</f>
        <v/>
      </c>
      <c r="B821" s="19" t="n"/>
      <c r="C821" s="4" t="n"/>
      <c r="D821" s="4" t="n"/>
      <c r="E821" s="4" t="n"/>
      <c r="F821" s="4">
        <f>IF($E821="","",IFERROR(VLOOKUP($E821,AKUN!$A$2:$B$200,2,FALSE),"Kode tidak ditemukan"))</f>
        <v/>
      </c>
      <c r="G821" s="4" t="n"/>
      <c r="H821" s="9" t="n"/>
      <c r="I821" s="9" t="n"/>
      <c r="J821" s="18">
        <f>IF($B821="","",MONTH($B821))</f>
        <v/>
      </c>
      <c r="K821" s="18">
        <f>IF($B821="","",YEAR($B821))</f>
        <v/>
      </c>
    </row>
    <row r="822">
      <c r="A822" s="13">
        <f>IF($B822="","",ROW()-9)</f>
        <v/>
      </c>
      <c r="B822" s="14" t="n"/>
      <c r="C822" s="15" t="n"/>
      <c r="D822" s="15" t="n"/>
      <c r="E822" s="15" t="n"/>
      <c r="F822" s="15">
        <f>IF($E822="","",IFERROR(VLOOKUP($E822,AKUN!$A$2:$B$200,2,FALSE),"Kode tidak ditemukan"))</f>
        <v/>
      </c>
      <c r="G822" s="15" t="n"/>
      <c r="H822" s="17" t="n"/>
      <c r="I822" s="17" t="n"/>
      <c r="J822" s="13">
        <f>IF($B822="","",MONTH($B822))</f>
        <v/>
      </c>
      <c r="K822" s="13">
        <f>IF($B822="","",YEAR($B822))</f>
        <v/>
      </c>
    </row>
    <row r="823">
      <c r="A823" s="18">
        <f>IF($B823="","",ROW()-9)</f>
        <v/>
      </c>
      <c r="B823" s="19" t="n"/>
      <c r="C823" s="4" t="n"/>
      <c r="D823" s="4" t="n"/>
      <c r="E823" s="4" t="n"/>
      <c r="F823" s="4">
        <f>IF($E823="","",IFERROR(VLOOKUP($E823,AKUN!$A$2:$B$200,2,FALSE),"Kode tidak ditemukan"))</f>
        <v/>
      </c>
      <c r="G823" s="4" t="n"/>
      <c r="H823" s="9" t="n"/>
      <c r="I823" s="9" t="n"/>
      <c r="J823" s="18">
        <f>IF($B823="","",MONTH($B823))</f>
        <v/>
      </c>
      <c r="K823" s="18">
        <f>IF($B823="","",YEAR($B823))</f>
        <v/>
      </c>
    </row>
    <row r="824">
      <c r="A824" s="13">
        <f>IF($B824="","",ROW()-9)</f>
        <v/>
      </c>
      <c r="B824" s="14" t="n"/>
      <c r="C824" s="15" t="n"/>
      <c r="D824" s="15" t="n"/>
      <c r="E824" s="15" t="n"/>
      <c r="F824" s="15">
        <f>IF($E824="","",IFERROR(VLOOKUP($E824,AKUN!$A$2:$B$200,2,FALSE),"Kode tidak ditemukan"))</f>
        <v/>
      </c>
      <c r="G824" s="15" t="n"/>
      <c r="H824" s="17" t="n"/>
      <c r="I824" s="17" t="n"/>
      <c r="J824" s="13">
        <f>IF($B824="","",MONTH($B824))</f>
        <v/>
      </c>
      <c r="K824" s="13">
        <f>IF($B824="","",YEAR($B824))</f>
        <v/>
      </c>
    </row>
    <row r="825">
      <c r="A825" s="18">
        <f>IF($B825="","",ROW()-9)</f>
        <v/>
      </c>
      <c r="B825" s="19" t="n"/>
      <c r="C825" s="4" t="n"/>
      <c r="D825" s="4" t="n"/>
      <c r="E825" s="4" t="n"/>
      <c r="F825" s="4">
        <f>IF($E825="","",IFERROR(VLOOKUP($E825,AKUN!$A$2:$B$200,2,FALSE),"Kode tidak ditemukan"))</f>
        <v/>
      </c>
      <c r="G825" s="4" t="n"/>
      <c r="H825" s="9" t="n"/>
      <c r="I825" s="9" t="n"/>
      <c r="J825" s="18">
        <f>IF($B825="","",MONTH($B825))</f>
        <v/>
      </c>
      <c r="K825" s="18">
        <f>IF($B825="","",YEAR($B825))</f>
        <v/>
      </c>
    </row>
    <row r="826">
      <c r="A826" s="13">
        <f>IF($B826="","",ROW()-9)</f>
        <v/>
      </c>
      <c r="B826" s="14" t="n"/>
      <c r="C826" s="15" t="n"/>
      <c r="D826" s="15" t="n"/>
      <c r="E826" s="15" t="n"/>
      <c r="F826" s="15">
        <f>IF($E826="","",IFERROR(VLOOKUP($E826,AKUN!$A$2:$B$200,2,FALSE),"Kode tidak ditemukan"))</f>
        <v/>
      </c>
      <c r="G826" s="15" t="n"/>
      <c r="H826" s="17" t="n"/>
      <c r="I826" s="17" t="n"/>
      <c r="J826" s="13">
        <f>IF($B826="","",MONTH($B826))</f>
        <v/>
      </c>
      <c r="K826" s="13">
        <f>IF($B826="","",YEAR($B826))</f>
        <v/>
      </c>
    </row>
    <row r="827">
      <c r="A827" s="18">
        <f>IF($B827="","",ROW()-9)</f>
        <v/>
      </c>
      <c r="B827" s="19" t="n"/>
      <c r="C827" s="4" t="n"/>
      <c r="D827" s="4" t="n"/>
      <c r="E827" s="4" t="n"/>
      <c r="F827" s="4">
        <f>IF($E827="","",IFERROR(VLOOKUP($E827,AKUN!$A$2:$B$200,2,FALSE),"Kode tidak ditemukan"))</f>
        <v/>
      </c>
      <c r="G827" s="4" t="n"/>
      <c r="H827" s="9" t="n"/>
      <c r="I827" s="9" t="n"/>
      <c r="J827" s="18">
        <f>IF($B827="","",MONTH($B827))</f>
        <v/>
      </c>
      <c r="K827" s="18">
        <f>IF($B827="","",YEAR($B827))</f>
        <v/>
      </c>
    </row>
    <row r="828">
      <c r="A828" s="13">
        <f>IF($B828="","",ROW()-9)</f>
        <v/>
      </c>
      <c r="B828" s="14" t="n"/>
      <c r="C828" s="15" t="n"/>
      <c r="D828" s="15" t="n"/>
      <c r="E828" s="15" t="n"/>
      <c r="F828" s="15">
        <f>IF($E828="","",IFERROR(VLOOKUP($E828,AKUN!$A$2:$B$200,2,FALSE),"Kode tidak ditemukan"))</f>
        <v/>
      </c>
      <c r="G828" s="15" t="n"/>
      <c r="H828" s="17" t="n"/>
      <c r="I828" s="17" t="n"/>
      <c r="J828" s="13">
        <f>IF($B828="","",MONTH($B828))</f>
        <v/>
      </c>
      <c r="K828" s="13">
        <f>IF($B828="","",YEAR($B828))</f>
        <v/>
      </c>
    </row>
    <row r="829">
      <c r="A829" s="18">
        <f>IF($B829="","",ROW()-9)</f>
        <v/>
      </c>
      <c r="B829" s="19" t="n"/>
      <c r="C829" s="4" t="n"/>
      <c r="D829" s="4" t="n"/>
      <c r="E829" s="4" t="n"/>
      <c r="F829" s="4">
        <f>IF($E829="","",IFERROR(VLOOKUP($E829,AKUN!$A$2:$B$200,2,FALSE),"Kode tidak ditemukan"))</f>
        <v/>
      </c>
      <c r="G829" s="4" t="n"/>
      <c r="H829" s="9" t="n"/>
      <c r="I829" s="9" t="n"/>
      <c r="J829" s="18">
        <f>IF($B829="","",MONTH($B829))</f>
        <v/>
      </c>
      <c r="K829" s="18">
        <f>IF($B829="","",YEAR($B829))</f>
        <v/>
      </c>
    </row>
    <row r="830">
      <c r="A830" s="13">
        <f>IF($B830="","",ROW()-9)</f>
        <v/>
      </c>
      <c r="B830" s="14" t="n"/>
      <c r="C830" s="15" t="n"/>
      <c r="D830" s="15" t="n"/>
      <c r="E830" s="15" t="n"/>
      <c r="F830" s="15">
        <f>IF($E830="","",IFERROR(VLOOKUP($E830,AKUN!$A$2:$B$200,2,FALSE),"Kode tidak ditemukan"))</f>
        <v/>
      </c>
      <c r="G830" s="15" t="n"/>
      <c r="H830" s="17" t="n"/>
      <c r="I830" s="17" t="n"/>
      <c r="J830" s="13">
        <f>IF($B830="","",MONTH($B830))</f>
        <v/>
      </c>
      <c r="K830" s="13">
        <f>IF($B830="","",YEAR($B830))</f>
        <v/>
      </c>
    </row>
    <row r="831">
      <c r="A831" s="18">
        <f>IF($B831="","",ROW()-9)</f>
        <v/>
      </c>
      <c r="B831" s="19" t="n"/>
      <c r="C831" s="4" t="n"/>
      <c r="D831" s="4" t="n"/>
      <c r="E831" s="4" t="n"/>
      <c r="F831" s="4">
        <f>IF($E831="","",IFERROR(VLOOKUP($E831,AKUN!$A$2:$B$200,2,FALSE),"Kode tidak ditemukan"))</f>
        <v/>
      </c>
      <c r="G831" s="4" t="n"/>
      <c r="H831" s="9" t="n"/>
      <c r="I831" s="9" t="n"/>
      <c r="J831" s="18">
        <f>IF($B831="","",MONTH($B831))</f>
        <v/>
      </c>
      <c r="K831" s="18">
        <f>IF($B831="","",YEAR($B831))</f>
        <v/>
      </c>
    </row>
    <row r="832">
      <c r="A832" s="13">
        <f>IF($B832="","",ROW()-9)</f>
        <v/>
      </c>
      <c r="B832" s="14" t="n"/>
      <c r="C832" s="15" t="n"/>
      <c r="D832" s="15" t="n"/>
      <c r="E832" s="15" t="n"/>
      <c r="F832" s="15">
        <f>IF($E832="","",IFERROR(VLOOKUP($E832,AKUN!$A$2:$B$200,2,FALSE),"Kode tidak ditemukan"))</f>
        <v/>
      </c>
      <c r="G832" s="15" t="n"/>
      <c r="H832" s="17" t="n"/>
      <c r="I832" s="17" t="n"/>
      <c r="J832" s="13">
        <f>IF($B832="","",MONTH($B832))</f>
        <v/>
      </c>
      <c r="K832" s="13">
        <f>IF($B832="","",YEAR($B832))</f>
        <v/>
      </c>
    </row>
    <row r="833">
      <c r="A833" s="18">
        <f>IF($B833="","",ROW()-9)</f>
        <v/>
      </c>
      <c r="B833" s="19" t="n"/>
      <c r="C833" s="4" t="n"/>
      <c r="D833" s="4" t="n"/>
      <c r="E833" s="4" t="n"/>
      <c r="F833" s="4">
        <f>IF($E833="","",IFERROR(VLOOKUP($E833,AKUN!$A$2:$B$200,2,FALSE),"Kode tidak ditemukan"))</f>
        <v/>
      </c>
      <c r="G833" s="4" t="n"/>
      <c r="H833" s="9" t="n"/>
      <c r="I833" s="9" t="n"/>
      <c r="J833" s="18">
        <f>IF($B833="","",MONTH($B833))</f>
        <v/>
      </c>
      <c r="K833" s="18">
        <f>IF($B833="","",YEAR($B833))</f>
        <v/>
      </c>
    </row>
    <row r="834">
      <c r="A834" s="13">
        <f>IF($B834="","",ROW()-9)</f>
        <v/>
      </c>
      <c r="B834" s="14" t="n"/>
      <c r="C834" s="15" t="n"/>
      <c r="D834" s="15" t="n"/>
      <c r="E834" s="15" t="n"/>
      <c r="F834" s="15">
        <f>IF($E834="","",IFERROR(VLOOKUP($E834,AKUN!$A$2:$B$200,2,FALSE),"Kode tidak ditemukan"))</f>
        <v/>
      </c>
      <c r="G834" s="15" t="n"/>
      <c r="H834" s="17" t="n"/>
      <c r="I834" s="17" t="n"/>
      <c r="J834" s="13">
        <f>IF($B834="","",MONTH($B834))</f>
        <v/>
      </c>
      <c r="K834" s="13">
        <f>IF($B834="","",YEAR($B834))</f>
        <v/>
      </c>
    </row>
    <row r="835">
      <c r="A835" s="18">
        <f>IF($B835="","",ROW()-9)</f>
        <v/>
      </c>
      <c r="B835" s="19" t="n"/>
      <c r="C835" s="4" t="n"/>
      <c r="D835" s="4" t="n"/>
      <c r="E835" s="4" t="n"/>
      <c r="F835" s="4">
        <f>IF($E835="","",IFERROR(VLOOKUP($E835,AKUN!$A$2:$B$200,2,FALSE),"Kode tidak ditemukan"))</f>
        <v/>
      </c>
      <c r="G835" s="4" t="n"/>
      <c r="H835" s="9" t="n"/>
      <c r="I835" s="9" t="n"/>
      <c r="J835" s="18">
        <f>IF($B835="","",MONTH($B835))</f>
        <v/>
      </c>
      <c r="K835" s="18">
        <f>IF($B835="","",YEAR($B835))</f>
        <v/>
      </c>
    </row>
    <row r="836">
      <c r="A836" s="13">
        <f>IF($B836="","",ROW()-9)</f>
        <v/>
      </c>
      <c r="B836" s="14" t="n"/>
      <c r="C836" s="15" t="n"/>
      <c r="D836" s="15" t="n"/>
      <c r="E836" s="15" t="n"/>
      <c r="F836" s="15">
        <f>IF($E836="","",IFERROR(VLOOKUP($E836,AKUN!$A$2:$B$200,2,FALSE),"Kode tidak ditemukan"))</f>
        <v/>
      </c>
      <c r="G836" s="15" t="n"/>
      <c r="H836" s="17" t="n"/>
      <c r="I836" s="17" t="n"/>
      <c r="J836" s="13">
        <f>IF($B836="","",MONTH($B836))</f>
        <v/>
      </c>
      <c r="K836" s="13">
        <f>IF($B836="","",YEAR($B836))</f>
        <v/>
      </c>
    </row>
    <row r="837">
      <c r="A837" s="18">
        <f>IF($B837="","",ROW()-9)</f>
        <v/>
      </c>
      <c r="B837" s="19" t="n"/>
      <c r="C837" s="4" t="n"/>
      <c r="D837" s="4" t="n"/>
      <c r="E837" s="4" t="n"/>
      <c r="F837" s="4">
        <f>IF($E837="","",IFERROR(VLOOKUP($E837,AKUN!$A$2:$B$200,2,FALSE),"Kode tidak ditemukan"))</f>
        <v/>
      </c>
      <c r="G837" s="4" t="n"/>
      <c r="H837" s="9" t="n"/>
      <c r="I837" s="9" t="n"/>
      <c r="J837" s="18">
        <f>IF($B837="","",MONTH($B837))</f>
        <v/>
      </c>
      <c r="K837" s="18">
        <f>IF($B837="","",YEAR($B837))</f>
        <v/>
      </c>
    </row>
    <row r="838">
      <c r="A838" s="13">
        <f>IF($B838="","",ROW()-9)</f>
        <v/>
      </c>
      <c r="B838" s="14" t="n"/>
      <c r="C838" s="15" t="n"/>
      <c r="D838" s="15" t="n"/>
      <c r="E838" s="15" t="n"/>
      <c r="F838" s="15">
        <f>IF($E838="","",IFERROR(VLOOKUP($E838,AKUN!$A$2:$B$200,2,FALSE),"Kode tidak ditemukan"))</f>
        <v/>
      </c>
      <c r="G838" s="15" t="n"/>
      <c r="H838" s="17" t="n"/>
      <c r="I838" s="17" t="n"/>
      <c r="J838" s="13">
        <f>IF($B838="","",MONTH($B838))</f>
        <v/>
      </c>
      <c r="K838" s="13">
        <f>IF($B838="","",YEAR($B838))</f>
        <v/>
      </c>
    </row>
    <row r="839">
      <c r="A839" s="18">
        <f>IF($B839="","",ROW()-9)</f>
        <v/>
      </c>
      <c r="B839" s="19" t="n"/>
      <c r="C839" s="4" t="n"/>
      <c r="D839" s="4" t="n"/>
      <c r="E839" s="4" t="n"/>
      <c r="F839" s="4">
        <f>IF($E839="","",IFERROR(VLOOKUP($E839,AKUN!$A$2:$B$200,2,FALSE),"Kode tidak ditemukan"))</f>
        <v/>
      </c>
      <c r="G839" s="4" t="n"/>
      <c r="H839" s="9" t="n"/>
      <c r="I839" s="9" t="n"/>
      <c r="J839" s="18">
        <f>IF($B839="","",MONTH($B839))</f>
        <v/>
      </c>
      <c r="K839" s="18">
        <f>IF($B839="","",YEAR($B839))</f>
        <v/>
      </c>
    </row>
    <row r="840">
      <c r="A840" s="13">
        <f>IF($B840="","",ROW()-9)</f>
        <v/>
      </c>
      <c r="B840" s="14" t="n"/>
      <c r="C840" s="15" t="n"/>
      <c r="D840" s="15" t="n"/>
      <c r="E840" s="15" t="n"/>
      <c r="F840" s="15">
        <f>IF($E840="","",IFERROR(VLOOKUP($E840,AKUN!$A$2:$B$200,2,FALSE),"Kode tidak ditemukan"))</f>
        <v/>
      </c>
      <c r="G840" s="15" t="n"/>
      <c r="H840" s="17" t="n"/>
      <c r="I840" s="17" t="n"/>
      <c r="J840" s="13">
        <f>IF($B840="","",MONTH($B840))</f>
        <v/>
      </c>
      <c r="K840" s="13">
        <f>IF($B840="","",YEAR($B840))</f>
        <v/>
      </c>
    </row>
    <row r="841">
      <c r="A841" s="18">
        <f>IF($B841="","",ROW()-9)</f>
        <v/>
      </c>
      <c r="B841" s="19" t="n"/>
      <c r="C841" s="4" t="n"/>
      <c r="D841" s="4" t="n"/>
      <c r="E841" s="4" t="n"/>
      <c r="F841" s="4">
        <f>IF($E841="","",IFERROR(VLOOKUP($E841,AKUN!$A$2:$B$200,2,FALSE),"Kode tidak ditemukan"))</f>
        <v/>
      </c>
      <c r="G841" s="4" t="n"/>
      <c r="H841" s="9" t="n"/>
      <c r="I841" s="9" t="n"/>
      <c r="J841" s="18">
        <f>IF($B841="","",MONTH($B841))</f>
        <v/>
      </c>
      <c r="K841" s="18">
        <f>IF($B841="","",YEAR($B841))</f>
        <v/>
      </c>
    </row>
    <row r="842">
      <c r="A842" s="13">
        <f>IF($B842="","",ROW()-9)</f>
        <v/>
      </c>
      <c r="B842" s="14" t="n"/>
      <c r="C842" s="15" t="n"/>
      <c r="D842" s="15" t="n"/>
      <c r="E842" s="15" t="n"/>
      <c r="F842" s="15">
        <f>IF($E842="","",IFERROR(VLOOKUP($E842,AKUN!$A$2:$B$200,2,FALSE),"Kode tidak ditemukan"))</f>
        <v/>
      </c>
      <c r="G842" s="15" t="n"/>
      <c r="H842" s="17" t="n"/>
      <c r="I842" s="17" t="n"/>
      <c r="J842" s="13">
        <f>IF($B842="","",MONTH($B842))</f>
        <v/>
      </c>
      <c r="K842" s="13">
        <f>IF($B842="","",YEAR($B842))</f>
        <v/>
      </c>
    </row>
    <row r="843">
      <c r="A843" s="18">
        <f>IF($B843="","",ROW()-9)</f>
        <v/>
      </c>
      <c r="B843" s="19" t="n"/>
      <c r="C843" s="4" t="n"/>
      <c r="D843" s="4" t="n"/>
      <c r="E843" s="4" t="n"/>
      <c r="F843" s="4">
        <f>IF($E843="","",IFERROR(VLOOKUP($E843,AKUN!$A$2:$B$200,2,FALSE),"Kode tidak ditemukan"))</f>
        <v/>
      </c>
      <c r="G843" s="4" t="n"/>
      <c r="H843" s="9" t="n"/>
      <c r="I843" s="9" t="n"/>
      <c r="J843" s="18">
        <f>IF($B843="","",MONTH($B843))</f>
        <v/>
      </c>
      <c r="K843" s="18">
        <f>IF($B843="","",YEAR($B843))</f>
        <v/>
      </c>
    </row>
    <row r="844">
      <c r="A844" s="13">
        <f>IF($B844="","",ROW()-9)</f>
        <v/>
      </c>
      <c r="B844" s="14" t="n"/>
      <c r="C844" s="15" t="n"/>
      <c r="D844" s="15" t="n"/>
      <c r="E844" s="15" t="n"/>
      <c r="F844" s="15">
        <f>IF($E844="","",IFERROR(VLOOKUP($E844,AKUN!$A$2:$B$200,2,FALSE),"Kode tidak ditemukan"))</f>
        <v/>
      </c>
      <c r="G844" s="15" t="n"/>
      <c r="H844" s="17" t="n"/>
      <c r="I844" s="17" t="n"/>
      <c r="J844" s="13">
        <f>IF($B844="","",MONTH($B844))</f>
        <v/>
      </c>
      <c r="K844" s="13">
        <f>IF($B844="","",YEAR($B844))</f>
        <v/>
      </c>
    </row>
    <row r="845">
      <c r="A845" s="18">
        <f>IF($B845="","",ROW()-9)</f>
        <v/>
      </c>
      <c r="B845" s="19" t="n"/>
      <c r="C845" s="4" t="n"/>
      <c r="D845" s="4" t="n"/>
      <c r="E845" s="4" t="n"/>
      <c r="F845" s="4">
        <f>IF($E845="","",IFERROR(VLOOKUP($E845,AKUN!$A$2:$B$200,2,FALSE),"Kode tidak ditemukan"))</f>
        <v/>
      </c>
      <c r="G845" s="4" t="n"/>
      <c r="H845" s="9" t="n"/>
      <c r="I845" s="9" t="n"/>
      <c r="J845" s="18">
        <f>IF($B845="","",MONTH($B845))</f>
        <v/>
      </c>
      <c r="K845" s="18">
        <f>IF($B845="","",YEAR($B845))</f>
        <v/>
      </c>
    </row>
    <row r="846">
      <c r="A846" s="13">
        <f>IF($B846="","",ROW()-9)</f>
        <v/>
      </c>
      <c r="B846" s="14" t="n"/>
      <c r="C846" s="15" t="n"/>
      <c r="D846" s="15" t="n"/>
      <c r="E846" s="15" t="n"/>
      <c r="F846" s="15">
        <f>IF($E846="","",IFERROR(VLOOKUP($E846,AKUN!$A$2:$B$200,2,FALSE),"Kode tidak ditemukan"))</f>
        <v/>
      </c>
      <c r="G846" s="15" t="n"/>
      <c r="H846" s="17" t="n"/>
      <c r="I846" s="17" t="n"/>
      <c r="J846" s="13">
        <f>IF($B846="","",MONTH($B846))</f>
        <v/>
      </c>
      <c r="K846" s="13">
        <f>IF($B846="","",YEAR($B846))</f>
        <v/>
      </c>
    </row>
    <row r="847">
      <c r="A847" s="18">
        <f>IF($B847="","",ROW()-9)</f>
        <v/>
      </c>
      <c r="B847" s="19" t="n"/>
      <c r="C847" s="4" t="n"/>
      <c r="D847" s="4" t="n"/>
      <c r="E847" s="4" t="n"/>
      <c r="F847" s="4">
        <f>IF($E847="","",IFERROR(VLOOKUP($E847,AKUN!$A$2:$B$200,2,FALSE),"Kode tidak ditemukan"))</f>
        <v/>
      </c>
      <c r="G847" s="4" t="n"/>
      <c r="H847" s="9" t="n"/>
      <c r="I847" s="9" t="n"/>
      <c r="J847" s="18">
        <f>IF($B847="","",MONTH($B847))</f>
        <v/>
      </c>
      <c r="K847" s="18">
        <f>IF($B847="","",YEAR($B847))</f>
        <v/>
      </c>
    </row>
    <row r="848">
      <c r="A848" s="13">
        <f>IF($B848="","",ROW()-9)</f>
        <v/>
      </c>
      <c r="B848" s="14" t="n"/>
      <c r="C848" s="15" t="n"/>
      <c r="D848" s="15" t="n"/>
      <c r="E848" s="15" t="n"/>
      <c r="F848" s="15">
        <f>IF($E848="","",IFERROR(VLOOKUP($E848,AKUN!$A$2:$B$200,2,FALSE),"Kode tidak ditemukan"))</f>
        <v/>
      </c>
      <c r="G848" s="15" t="n"/>
      <c r="H848" s="17" t="n"/>
      <c r="I848" s="17" t="n"/>
      <c r="J848" s="13">
        <f>IF($B848="","",MONTH($B848))</f>
        <v/>
      </c>
      <c r="K848" s="13">
        <f>IF($B848="","",YEAR($B848))</f>
        <v/>
      </c>
    </row>
    <row r="849">
      <c r="A849" s="18">
        <f>IF($B849="","",ROW()-9)</f>
        <v/>
      </c>
      <c r="B849" s="19" t="n"/>
      <c r="C849" s="4" t="n"/>
      <c r="D849" s="4" t="n"/>
      <c r="E849" s="4" t="n"/>
      <c r="F849" s="4">
        <f>IF($E849="","",IFERROR(VLOOKUP($E849,AKUN!$A$2:$B$200,2,FALSE),"Kode tidak ditemukan"))</f>
        <v/>
      </c>
      <c r="G849" s="4" t="n"/>
      <c r="H849" s="9" t="n"/>
      <c r="I849" s="9" t="n"/>
      <c r="J849" s="18">
        <f>IF($B849="","",MONTH($B849))</f>
        <v/>
      </c>
      <c r="K849" s="18">
        <f>IF($B849="","",YEAR($B849))</f>
        <v/>
      </c>
    </row>
    <row r="850">
      <c r="A850" s="13">
        <f>IF($B850="","",ROW()-9)</f>
        <v/>
      </c>
      <c r="B850" s="14" t="n"/>
      <c r="C850" s="15" t="n"/>
      <c r="D850" s="15" t="n"/>
      <c r="E850" s="15" t="n"/>
      <c r="F850" s="15">
        <f>IF($E850="","",IFERROR(VLOOKUP($E850,AKUN!$A$2:$B$200,2,FALSE),"Kode tidak ditemukan"))</f>
        <v/>
      </c>
      <c r="G850" s="15" t="n"/>
      <c r="H850" s="17" t="n"/>
      <c r="I850" s="17" t="n"/>
      <c r="J850" s="13">
        <f>IF($B850="","",MONTH($B850))</f>
        <v/>
      </c>
      <c r="K850" s="13">
        <f>IF($B850="","",YEAR($B850))</f>
        <v/>
      </c>
    </row>
    <row r="851">
      <c r="A851" s="18">
        <f>IF($B851="","",ROW()-9)</f>
        <v/>
      </c>
      <c r="B851" s="19" t="n"/>
      <c r="C851" s="4" t="n"/>
      <c r="D851" s="4" t="n"/>
      <c r="E851" s="4" t="n"/>
      <c r="F851" s="4">
        <f>IF($E851="","",IFERROR(VLOOKUP($E851,AKUN!$A$2:$B$200,2,FALSE),"Kode tidak ditemukan"))</f>
        <v/>
      </c>
      <c r="G851" s="4" t="n"/>
      <c r="H851" s="9" t="n"/>
      <c r="I851" s="9" t="n"/>
      <c r="J851" s="18">
        <f>IF($B851="","",MONTH($B851))</f>
        <v/>
      </c>
      <c r="K851" s="18">
        <f>IF($B851="","",YEAR($B851))</f>
        <v/>
      </c>
    </row>
    <row r="852">
      <c r="A852" s="13">
        <f>IF($B852="","",ROW()-9)</f>
        <v/>
      </c>
      <c r="B852" s="14" t="n"/>
      <c r="C852" s="15" t="n"/>
      <c r="D852" s="15" t="n"/>
      <c r="E852" s="15" t="n"/>
      <c r="F852" s="15">
        <f>IF($E852="","",IFERROR(VLOOKUP($E852,AKUN!$A$2:$B$200,2,FALSE),"Kode tidak ditemukan"))</f>
        <v/>
      </c>
      <c r="G852" s="15" t="n"/>
      <c r="H852" s="17" t="n"/>
      <c r="I852" s="17" t="n"/>
      <c r="J852" s="13">
        <f>IF($B852="","",MONTH($B852))</f>
        <v/>
      </c>
      <c r="K852" s="13">
        <f>IF($B852="","",YEAR($B852))</f>
        <v/>
      </c>
    </row>
    <row r="853">
      <c r="A853" s="18">
        <f>IF($B853="","",ROW()-9)</f>
        <v/>
      </c>
      <c r="B853" s="19" t="n"/>
      <c r="C853" s="4" t="n"/>
      <c r="D853" s="4" t="n"/>
      <c r="E853" s="4" t="n"/>
      <c r="F853" s="4">
        <f>IF($E853="","",IFERROR(VLOOKUP($E853,AKUN!$A$2:$B$200,2,FALSE),"Kode tidak ditemukan"))</f>
        <v/>
      </c>
      <c r="G853" s="4" t="n"/>
      <c r="H853" s="9" t="n"/>
      <c r="I853" s="9" t="n"/>
      <c r="J853" s="18">
        <f>IF($B853="","",MONTH($B853))</f>
        <v/>
      </c>
      <c r="K853" s="18">
        <f>IF($B853="","",YEAR($B853))</f>
        <v/>
      </c>
    </row>
    <row r="854">
      <c r="A854" s="13">
        <f>IF($B854="","",ROW()-9)</f>
        <v/>
      </c>
      <c r="B854" s="14" t="n"/>
      <c r="C854" s="15" t="n"/>
      <c r="D854" s="15" t="n"/>
      <c r="E854" s="15" t="n"/>
      <c r="F854" s="15">
        <f>IF($E854="","",IFERROR(VLOOKUP($E854,AKUN!$A$2:$B$200,2,FALSE),"Kode tidak ditemukan"))</f>
        <v/>
      </c>
      <c r="G854" s="15" t="n"/>
      <c r="H854" s="17" t="n"/>
      <c r="I854" s="17" t="n"/>
      <c r="J854" s="13">
        <f>IF($B854="","",MONTH($B854))</f>
        <v/>
      </c>
      <c r="K854" s="13">
        <f>IF($B854="","",YEAR($B854))</f>
        <v/>
      </c>
    </row>
    <row r="855">
      <c r="A855" s="18">
        <f>IF($B855="","",ROW()-9)</f>
        <v/>
      </c>
      <c r="B855" s="19" t="n"/>
      <c r="C855" s="4" t="n"/>
      <c r="D855" s="4" t="n"/>
      <c r="E855" s="4" t="n"/>
      <c r="F855" s="4">
        <f>IF($E855="","",IFERROR(VLOOKUP($E855,AKUN!$A$2:$B$200,2,FALSE),"Kode tidak ditemukan"))</f>
        <v/>
      </c>
      <c r="G855" s="4" t="n"/>
      <c r="H855" s="9" t="n"/>
      <c r="I855" s="9" t="n"/>
      <c r="J855" s="18">
        <f>IF($B855="","",MONTH($B855))</f>
        <v/>
      </c>
      <c r="K855" s="18">
        <f>IF($B855="","",YEAR($B855))</f>
        <v/>
      </c>
    </row>
    <row r="856">
      <c r="A856" s="13">
        <f>IF($B856="","",ROW()-9)</f>
        <v/>
      </c>
      <c r="B856" s="14" t="n"/>
      <c r="C856" s="15" t="n"/>
      <c r="D856" s="15" t="n"/>
      <c r="E856" s="15" t="n"/>
      <c r="F856" s="15">
        <f>IF($E856="","",IFERROR(VLOOKUP($E856,AKUN!$A$2:$B$200,2,FALSE),"Kode tidak ditemukan"))</f>
        <v/>
      </c>
      <c r="G856" s="15" t="n"/>
      <c r="H856" s="17" t="n"/>
      <c r="I856" s="17" t="n"/>
      <c r="J856" s="13">
        <f>IF($B856="","",MONTH($B856))</f>
        <v/>
      </c>
      <c r="K856" s="13">
        <f>IF($B856="","",YEAR($B856))</f>
        <v/>
      </c>
    </row>
    <row r="857">
      <c r="A857" s="18">
        <f>IF($B857="","",ROW()-9)</f>
        <v/>
      </c>
      <c r="B857" s="19" t="n"/>
      <c r="C857" s="4" t="n"/>
      <c r="D857" s="4" t="n"/>
      <c r="E857" s="4" t="n"/>
      <c r="F857" s="4">
        <f>IF($E857="","",IFERROR(VLOOKUP($E857,AKUN!$A$2:$B$200,2,FALSE),"Kode tidak ditemukan"))</f>
        <v/>
      </c>
      <c r="G857" s="4" t="n"/>
      <c r="H857" s="9" t="n"/>
      <c r="I857" s="9" t="n"/>
      <c r="J857" s="18">
        <f>IF($B857="","",MONTH($B857))</f>
        <v/>
      </c>
      <c r="K857" s="18">
        <f>IF($B857="","",YEAR($B857))</f>
        <v/>
      </c>
    </row>
    <row r="858">
      <c r="A858" s="13">
        <f>IF($B858="","",ROW()-9)</f>
        <v/>
      </c>
      <c r="B858" s="14" t="n"/>
      <c r="C858" s="15" t="n"/>
      <c r="D858" s="15" t="n"/>
      <c r="E858" s="15" t="n"/>
      <c r="F858" s="15">
        <f>IF($E858="","",IFERROR(VLOOKUP($E858,AKUN!$A$2:$B$200,2,FALSE),"Kode tidak ditemukan"))</f>
        <v/>
      </c>
      <c r="G858" s="15" t="n"/>
      <c r="H858" s="17" t="n"/>
      <c r="I858" s="17" t="n"/>
      <c r="J858" s="13">
        <f>IF($B858="","",MONTH($B858))</f>
        <v/>
      </c>
      <c r="K858" s="13">
        <f>IF($B858="","",YEAR($B858))</f>
        <v/>
      </c>
    </row>
    <row r="859">
      <c r="A859" s="18">
        <f>IF($B859="","",ROW()-9)</f>
        <v/>
      </c>
      <c r="B859" s="19" t="n"/>
      <c r="C859" s="4" t="n"/>
      <c r="D859" s="4" t="n"/>
      <c r="E859" s="4" t="n"/>
      <c r="F859" s="4">
        <f>IF($E859="","",IFERROR(VLOOKUP($E859,AKUN!$A$2:$B$200,2,FALSE),"Kode tidak ditemukan"))</f>
        <v/>
      </c>
      <c r="G859" s="4" t="n"/>
      <c r="H859" s="9" t="n"/>
      <c r="I859" s="9" t="n"/>
      <c r="J859" s="18">
        <f>IF($B859="","",MONTH($B859))</f>
        <v/>
      </c>
      <c r="K859" s="18">
        <f>IF($B859="","",YEAR($B859))</f>
        <v/>
      </c>
    </row>
    <row r="860">
      <c r="A860" s="13">
        <f>IF($B860="","",ROW()-9)</f>
        <v/>
      </c>
      <c r="B860" s="14" t="n"/>
      <c r="C860" s="15" t="n"/>
      <c r="D860" s="15" t="n"/>
      <c r="E860" s="15" t="n"/>
      <c r="F860" s="15">
        <f>IF($E860="","",IFERROR(VLOOKUP($E860,AKUN!$A$2:$B$200,2,FALSE),"Kode tidak ditemukan"))</f>
        <v/>
      </c>
      <c r="G860" s="15" t="n"/>
      <c r="H860" s="17" t="n"/>
      <c r="I860" s="17" t="n"/>
      <c r="J860" s="13">
        <f>IF($B860="","",MONTH($B860))</f>
        <v/>
      </c>
      <c r="K860" s="13">
        <f>IF($B860="","",YEAR($B860))</f>
        <v/>
      </c>
    </row>
    <row r="861">
      <c r="A861" s="18">
        <f>IF($B861="","",ROW()-9)</f>
        <v/>
      </c>
      <c r="B861" s="19" t="n"/>
      <c r="C861" s="4" t="n"/>
      <c r="D861" s="4" t="n"/>
      <c r="E861" s="4" t="n"/>
      <c r="F861" s="4">
        <f>IF($E861="","",IFERROR(VLOOKUP($E861,AKUN!$A$2:$B$200,2,FALSE),"Kode tidak ditemukan"))</f>
        <v/>
      </c>
      <c r="G861" s="4" t="n"/>
      <c r="H861" s="9" t="n"/>
      <c r="I861" s="9" t="n"/>
      <c r="J861" s="18">
        <f>IF($B861="","",MONTH($B861))</f>
        <v/>
      </c>
      <c r="K861" s="18">
        <f>IF($B861="","",YEAR($B861))</f>
        <v/>
      </c>
    </row>
    <row r="862">
      <c r="A862" s="13">
        <f>IF($B862="","",ROW()-9)</f>
        <v/>
      </c>
      <c r="B862" s="14" t="n"/>
      <c r="C862" s="15" t="n"/>
      <c r="D862" s="15" t="n"/>
      <c r="E862" s="15" t="n"/>
      <c r="F862" s="15">
        <f>IF($E862="","",IFERROR(VLOOKUP($E862,AKUN!$A$2:$B$200,2,FALSE),"Kode tidak ditemukan"))</f>
        <v/>
      </c>
      <c r="G862" s="15" t="n"/>
      <c r="H862" s="17" t="n"/>
      <c r="I862" s="17" t="n"/>
      <c r="J862" s="13">
        <f>IF($B862="","",MONTH($B862))</f>
        <v/>
      </c>
      <c r="K862" s="13">
        <f>IF($B862="","",YEAR($B862))</f>
        <v/>
      </c>
    </row>
    <row r="863">
      <c r="A863" s="18">
        <f>IF($B863="","",ROW()-9)</f>
        <v/>
      </c>
      <c r="B863" s="19" t="n"/>
      <c r="C863" s="4" t="n"/>
      <c r="D863" s="4" t="n"/>
      <c r="E863" s="4" t="n"/>
      <c r="F863" s="4">
        <f>IF($E863="","",IFERROR(VLOOKUP($E863,AKUN!$A$2:$B$200,2,FALSE),"Kode tidak ditemukan"))</f>
        <v/>
      </c>
      <c r="G863" s="4" t="n"/>
      <c r="H863" s="9" t="n"/>
      <c r="I863" s="9" t="n"/>
      <c r="J863" s="18">
        <f>IF($B863="","",MONTH($B863))</f>
        <v/>
      </c>
      <c r="K863" s="18">
        <f>IF($B863="","",YEAR($B863))</f>
        <v/>
      </c>
    </row>
    <row r="864">
      <c r="A864" s="13">
        <f>IF($B864="","",ROW()-9)</f>
        <v/>
      </c>
      <c r="B864" s="14" t="n"/>
      <c r="C864" s="15" t="n"/>
      <c r="D864" s="15" t="n"/>
      <c r="E864" s="15" t="n"/>
      <c r="F864" s="15">
        <f>IF($E864="","",IFERROR(VLOOKUP($E864,AKUN!$A$2:$B$200,2,FALSE),"Kode tidak ditemukan"))</f>
        <v/>
      </c>
      <c r="G864" s="15" t="n"/>
      <c r="H864" s="17" t="n"/>
      <c r="I864" s="17" t="n"/>
      <c r="J864" s="13">
        <f>IF($B864="","",MONTH($B864))</f>
        <v/>
      </c>
      <c r="K864" s="13">
        <f>IF($B864="","",YEAR($B864))</f>
        <v/>
      </c>
    </row>
    <row r="865">
      <c r="A865" s="18">
        <f>IF($B865="","",ROW()-9)</f>
        <v/>
      </c>
      <c r="B865" s="19" t="n"/>
      <c r="C865" s="4" t="n"/>
      <c r="D865" s="4" t="n"/>
      <c r="E865" s="4" t="n"/>
      <c r="F865" s="4">
        <f>IF($E865="","",IFERROR(VLOOKUP($E865,AKUN!$A$2:$B$200,2,FALSE),"Kode tidak ditemukan"))</f>
        <v/>
      </c>
      <c r="G865" s="4" t="n"/>
      <c r="H865" s="9" t="n"/>
      <c r="I865" s="9" t="n"/>
      <c r="J865" s="18">
        <f>IF($B865="","",MONTH($B865))</f>
        <v/>
      </c>
      <c r="K865" s="18">
        <f>IF($B865="","",YEAR($B865))</f>
        <v/>
      </c>
    </row>
    <row r="866">
      <c r="A866" s="13">
        <f>IF($B866="","",ROW()-9)</f>
        <v/>
      </c>
      <c r="B866" s="14" t="n"/>
      <c r="C866" s="15" t="n"/>
      <c r="D866" s="15" t="n"/>
      <c r="E866" s="15" t="n"/>
      <c r="F866" s="15">
        <f>IF($E866="","",IFERROR(VLOOKUP($E866,AKUN!$A$2:$B$200,2,FALSE),"Kode tidak ditemukan"))</f>
        <v/>
      </c>
      <c r="G866" s="15" t="n"/>
      <c r="H866" s="17" t="n"/>
      <c r="I866" s="17" t="n"/>
      <c r="J866" s="13">
        <f>IF($B866="","",MONTH($B866))</f>
        <v/>
      </c>
      <c r="K866" s="13">
        <f>IF($B866="","",YEAR($B866))</f>
        <v/>
      </c>
    </row>
    <row r="867">
      <c r="A867" s="18">
        <f>IF($B867="","",ROW()-9)</f>
        <v/>
      </c>
      <c r="B867" s="19" t="n"/>
      <c r="C867" s="4" t="n"/>
      <c r="D867" s="4" t="n"/>
      <c r="E867" s="4" t="n"/>
      <c r="F867" s="4">
        <f>IF($E867="","",IFERROR(VLOOKUP($E867,AKUN!$A$2:$B$200,2,FALSE),"Kode tidak ditemukan"))</f>
        <v/>
      </c>
      <c r="G867" s="4" t="n"/>
      <c r="H867" s="9" t="n"/>
      <c r="I867" s="9" t="n"/>
      <c r="J867" s="18">
        <f>IF($B867="","",MONTH($B867))</f>
        <v/>
      </c>
      <c r="K867" s="18">
        <f>IF($B867="","",YEAR($B867))</f>
        <v/>
      </c>
    </row>
    <row r="868">
      <c r="A868" s="13">
        <f>IF($B868="","",ROW()-9)</f>
        <v/>
      </c>
      <c r="B868" s="14" t="n"/>
      <c r="C868" s="15" t="n"/>
      <c r="D868" s="15" t="n"/>
      <c r="E868" s="15" t="n"/>
      <c r="F868" s="15">
        <f>IF($E868="","",IFERROR(VLOOKUP($E868,AKUN!$A$2:$B$200,2,FALSE),"Kode tidak ditemukan"))</f>
        <v/>
      </c>
      <c r="G868" s="15" t="n"/>
      <c r="H868" s="17" t="n"/>
      <c r="I868" s="17" t="n"/>
      <c r="J868" s="13">
        <f>IF($B868="","",MONTH($B868))</f>
        <v/>
      </c>
      <c r="K868" s="13">
        <f>IF($B868="","",YEAR($B868))</f>
        <v/>
      </c>
    </row>
    <row r="869">
      <c r="A869" s="18">
        <f>IF($B869="","",ROW()-9)</f>
        <v/>
      </c>
      <c r="B869" s="19" t="n"/>
      <c r="C869" s="4" t="n"/>
      <c r="D869" s="4" t="n"/>
      <c r="E869" s="4" t="n"/>
      <c r="F869" s="4">
        <f>IF($E869="","",IFERROR(VLOOKUP($E869,AKUN!$A$2:$B$200,2,FALSE),"Kode tidak ditemukan"))</f>
        <v/>
      </c>
      <c r="G869" s="4" t="n"/>
      <c r="H869" s="9" t="n"/>
      <c r="I869" s="9" t="n"/>
      <c r="J869" s="18">
        <f>IF($B869="","",MONTH($B869))</f>
        <v/>
      </c>
      <c r="K869" s="18">
        <f>IF($B869="","",YEAR($B869))</f>
        <v/>
      </c>
    </row>
    <row r="870">
      <c r="A870" s="13">
        <f>IF($B870="","",ROW()-9)</f>
        <v/>
      </c>
      <c r="B870" s="14" t="n"/>
      <c r="C870" s="15" t="n"/>
      <c r="D870" s="15" t="n"/>
      <c r="E870" s="15" t="n"/>
      <c r="F870" s="15">
        <f>IF($E870="","",IFERROR(VLOOKUP($E870,AKUN!$A$2:$B$200,2,FALSE),"Kode tidak ditemukan"))</f>
        <v/>
      </c>
      <c r="G870" s="15" t="n"/>
      <c r="H870" s="17" t="n"/>
      <c r="I870" s="17" t="n"/>
      <c r="J870" s="13">
        <f>IF($B870="","",MONTH($B870))</f>
        <v/>
      </c>
      <c r="K870" s="13">
        <f>IF($B870="","",YEAR($B870))</f>
        <v/>
      </c>
    </row>
    <row r="871">
      <c r="A871" s="18">
        <f>IF($B871="","",ROW()-9)</f>
        <v/>
      </c>
      <c r="B871" s="19" t="n"/>
      <c r="C871" s="4" t="n"/>
      <c r="D871" s="4" t="n"/>
      <c r="E871" s="4" t="n"/>
      <c r="F871" s="4">
        <f>IF($E871="","",IFERROR(VLOOKUP($E871,AKUN!$A$2:$B$200,2,FALSE),"Kode tidak ditemukan"))</f>
        <v/>
      </c>
      <c r="G871" s="4" t="n"/>
      <c r="H871" s="9" t="n"/>
      <c r="I871" s="9" t="n"/>
      <c r="J871" s="18">
        <f>IF($B871="","",MONTH($B871))</f>
        <v/>
      </c>
      <c r="K871" s="18">
        <f>IF($B871="","",YEAR($B871))</f>
        <v/>
      </c>
    </row>
    <row r="872">
      <c r="A872" s="13">
        <f>IF($B872="","",ROW()-9)</f>
        <v/>
      </c>
      <c r="B872" s="14" t="n"/>
      <c r="C872" s="15" t="n"/>
      <c r="D872" s="15" t="n"/>
      <c r="E872" s="15" t="n"/>
      <c r="F872" s="15">
        <f>IF($E872="","",IFERROR(VLOOKUP($E872,AKUN!$A$2:$B$200,2,FALSE),"Kode tidak ditemukan"))</f>
        <v/>
      </c>
      <c r="G872" s="15" t="n"/>
      <c r="H872" s="17" t="n"/>
      <c r="I872" s="17" t="n"/>
      <c r="J872" s="13">
        <f>IF($B872="","",MONTH($B872))</f>
        <v/>
      </c>
      <c r="K872" s="13">
        <f>IF($B872="","",YEAR($B872))</f>
        <v/>
      </c>
    </row>
    <row r="873">
      <c r="A873" s="18">
        <f>IF($B873="","",ROW()-9)</f>
        <v/>
      </c>
      <c r="B873" s="19" t="n"/>
      <c r="C873" s="4" t="n"/>
      <c r="D873" s="4" t="n"/>
      <c r="E873" s="4" t="n"/>
      <c r="F873" s="4">
        <f>IF($E873="","",IFERROR(VLOOKUP($E873,AKUN!$A$2:$B$200,2,FALSE),"Kode tidak ditemukan"))</f>
        <v/>
      </c>
      <c r="G873" s="4" t="n"/>
      <c r="H873" s="9" t="n"/>
      <c r="I873" s="9" t="n"/>
      <c r="J873" s="18">
        <f>IF($B873="","",MONTH($B873))</f>
        <v/>
      </c>
      <c r="K873" s="18">
        <f>IF($B873="","",YEAR($B873))</f>
        <v/>
      </c>
    </row>
    <row r="874">
      <c r="A874" s="13">
        <f>IF($B874="","",ROW()-9)</f>
        <v/>
      </c>
      <c r="B874" s="14" t="n"/>
      <c r="C874" s="15" t="n"/>
      <c r="D874" s="15" t="n"/>
      <c r="E874" s="15" t="n"/>
      <c r="F874" s="15">
        <f>IF($E874="","",IFERROR(VLOOKUP($E874,AKUN!$A$2:$B$200,2,FALSE),"Kode tidak ditemukan"))</f>
        <v/>
      </c>
      <c r="G874" s="15" t="n"/>
      <c r="H874" s="17" t="n"/>
      <c r="I874" s="17" t="n"/>
      <c r="J874" s="13">
        <f>IF($B874="","",MONTH($B874))</f>
        <v/>
      </c>
      <c r="K874" s="13">
        <f>IF($B874="","",YEAR($B874))</f>
        <v/>
      </c>
    </row>
    <row r="875">
      <c r="A875" s="18">
        <f>IF($B875="","",ROW()-9)</f>
        <v/>
      </c>
      <c r="B875" s="19" t="n"/>
      <c r="C875" s="4" t="n"/>
      <c r="D875" s="4" t="n"/>
      <c r="E875" s="4" t="n"/>
      <c r="F875" s="4">
        <f>IF($E875="","",IFERROR(VLOOKUP($E875,AKUN!$A$2:$B$200,2,FALSE),"Kode tidak ditemukan"))</f>
        <v/>
      </c>
      <c r="G875" s="4" t="n"/>
      <c r="H875" s="9" t="n"/>
      <c r="I875" s="9" t="n"/>
      <c r="J875" s="18">
        <f>IF($B875="","",MONTH($B875))</f>
        <v/>
      </c>
      <c r="K875" s="18">
        <f>IF($B875="","",YEAR($B875))</f>
        <v/>
      </c>
    </row>
    <row r="876">
      <c r="A876" s="13">
        <f>IF($B876="","",ROW()-9)</f>
        <v/>
      </c>
      <c r="B876" s="14" t="n"/>
      <c r="C876" s="15" t="n"/>
      <c r="D876" s="15" t="n"/>
      <c r="E876" s="15" t="n"/>
      <c r="F876" s="15">
        <f>IF($E876="","",IFERROR(VLOOKUP($E876,AKUN!$A$2:$B$200,2,FALSE),"Kode tidak ditemukan"))</f>
        <v/>
      </c>
      <c r="G876" s="15" t="n"/>
      <c r="H876" s="17" t="n"/>
      <c r="I876" s="17" t="n"/>
      <c r="J876" s="13">
        <f>IF($B876="","",MONTH($B876))</f>
        <v/>
      </c>
      <c r="K876" s="13">
        <f>IF($B876="","",YEAR($B876))</f>
        <v/>
      </c>
    </row>
    <row r="877">
      <c r="A877" s="18">
        <f>IF($B877="","",ROW()-9)</f>
        <v/>
      </c>
      <c r="B877" s="19" t="n"/>
      <c r="C877" s="4" t="n"/>
      <c r="D877" s="4" t="n"/>
      <c r="E877" s="4" t="n"/>
      <c r="F877" s="4">
        <f>IF($E877="","",IFERROR(VLOOKUP($E877,AKUN!$A$2:$B$200,2,FALSE),"Kode tidak ditemukan"))</f>
        <v/>
      </c>
      <c r="G877" s="4" t="n"/>
      <c r="H877" s="9" t="n"/>
      <c r="I877" s="9" t="n"/>
      <c r="J877" s="18">
        <f>IF($B877="","",MONTH($B877))</f>
        <v/>
      </c>
      <c r="K877" s="18">
        <f>IF($B877="","",YEAR($B877))</f>
        <v/>
      </c>
    </row>
    <row r="878">
      <c r="A878" s="13">
        <f>IF($B878="","",ROW()-9)</f>
        <v/>
      </c>
      <c r="B878" s="14" t="n"/>
      <c r="C878" s="15" t="n"/>
      <c r="D878" s="15" t="n"/>
      <c r="E878" s="15" t="n"/>
      <c r="F878" s="15">
        <f>IF($E878="","",IFERROR(VLOOKUP($E878,AKUN!$A$2:$B$200,2,FALSE),"Kode tidak ditemukan"))</f>
        <v/>
      </c>
      <c r="G878" s="15" t="n"/>
      <c r="H878" s="17" t="n"/>
      <c r="I878" s="17" t="n"/>
      <c r="J878" s="13">
        <f>IF($B878="","",MONTH($B878))</f>
        <v/>
      </c>
      <c r="K878" s="13">
        <f>IF($B878="","",YEAR($B878))</f>
        <v/>
      </c>
    </row>
    <row r="879">
      <c r="A879" s="18">
        <f>IF($B879="","",ROW()-9)</f>
        <v/>
      </c>
      <c r="B879" s="19" t="n"/>
      <c r="C879" s="4" t="n"/>
      <c r="D879" s="4" t="n"/>
      <c r="E879" s="4" t="n"/>
      <c r="F879" s="4">
        <f>IF($E879="","",IFERROR(VLOOKUP($E879,AKUN!$A$2:$B$200,2,FALSE),"Kode tidak ditemukan"))</f>
        <v/>
      </c>
      <c r="G879" s="4" t="n"/>
      <c r="H879" s="9" t="n"/>
      <c r="I879" s="9" t="n"/>
      <c r="J879" s="18">
        <f>IF($B879="","",MONTH($B879))</f>
        <v/>
      </c>
      <c r="K879" s="18">
        <f>IF($B879="","",YEAR($B879))</f>
        <v/>
      </c>
    </row>
    <row r="880">
      <c r="A880" s="13">
        <f>IF($B880="","",ROW()-9)</f>
        <v/>
      </c>
      <c r="B880" s="14" t="n"/>
      <c r="C880" s="15" t="n"/>
      <c r="D880" s="15" t="n"/>
      <c r="E880" s="15" t="n"/>
      <c r="F880" s="15">
        <f>IF($E880="","",IFERROR(VLOOKUP($E880,AKUN!$A$2:$B$200,2,FALSE),"Kode tidak ditemukan"))</f>
        <v/>
      </c>
      <c r="G880" s="15" t="n"/>
      <c r="H880" s="17" t="n"/>
      <c r="I880" s="17" t="n"/>
      <c r="J880" s="13">
        <f>IF($B880="","",MONTH($B880))</f>
        <v/>
      </c>
      <c r="K880" s="13">
        <f>IF($B880="","",YEAR($B880))</f>
        <v/>
      </c>
    </row>
    <row r="881">
      <c r="A881" s="18">
        <f>IF($B881="","",ROW()-9)</f>
        <v/>
      </c>
      <c r="B881" s="19" t="n"/>
      <c r="C881" s="4" t="n"/>
      <c r="D881" s="4" t="n"/>
      <c r="E881" s="4" t="n"/>
      <c r="F881" s="4">
        <f>IF($E881="","",IFERROR(VLOOKUP($E881,AKUN!$A$2:$B$200,2,FALSE),"Kode tidak ditemukan"))</f>
        <v/>
      </c>
      <c r="G881" s="4" t="n"/>
      <c r="H881" s="9" t="n"/>
      <c r="I881" s="9" t="n"/>
      <c r="J881" s="18">
        <f>IF($B881="","",MONTH($B881))</f>
        <v/>
      </c>
      <c r="K881" s="18">
        <f>IF($B881="","",YEAR($B881))</f>
        <v/>
      </c>
    </row>
    <row r="882">
      <c r="A882" s="13">
        <f>IF($B882="","",ROW()-9)</f>
        <v/>
      </c>
      <c r="B882" s="14" t="n"/>
      <c r="C882" s="15" t="n"/>
      <c r="D882" s="15" t="n"/>
      <c r="E882" s="15" t="n"/>
      <c r="F882" s="15">
        <f>IF($E882="","",IFERROR(VLOOKUP($E882,AKUN!$A$2:$B$200,2,FALSE),"Kode tidak ditemukan"))</f>
        <v/>
      </c>
      <c r="G882" s="15" t="n"/>
      <c r="H882" s="17" t="n"/>
      <c r="I882" s="17" t="n"/>
      <c r="J882" s="13">
        <f>IF($B882="","",MONTH($B882))</f>
        <v/>
      </c>
      <c r="K882" s="13">
        <f>IF($B882="","",YEAR($B882))</f>
        <v/>
      </c>
    </row>
    <row r="883">
      <c r="A883" s="18">
        <f>IF($B883="","",ROW()-9)</f>
        <v/>
      </c>
      <c r="B883" s="19" t="n"/>
      <c r="C883" s="4" t="n"/>
      <c r="D883" s="4" t="n"/>
      <c r="E883" s="4" t="n"/>
      <c r="F883" s="4">
        <f>IF($E883="","",IFERROR(VLOOKUP($E883,AKUN!$A$2:$B$200,2,FALSE),"Kode tidak ditemukan"))</f>
        <v/>
      </c>
      <c r="G883" s="4" t="n"/>
      <c r="H883" s="9" t="n"/>
      <c r="I883" s="9" t="n"/>
      <c r="J883" s="18">
        <f>IF($B883="","",MONTH($B883))</f>
        <v/>
      </c>
      <c r="K883" s="18">
        <f>IF($B883="","",YEAR($B883))</f>
        <v/>
      </c>
    </row>
    <row r="884">
      <c r="A884" s="13">
        <f>IF($B884="","",ROW()-9)</f>
        <v/>
      </c>
      <c r="B884" s="14" t="n"/>
      <c r="C884" s="15" t="n"/>
      <c r="D884" s="15" t="n"/>
      <c r="E884" s="15" t="n"/>
      <c r="F884" s="15">
        <f>IF($E884="","",IFERROR(VLOOKUP($E884,AKUN!$A$2:$B$200,2,FALSE),"Kode tidak ditemukan"))</f>
        <v/>
      </c>
      <c r="G884" s="15" t="n"/>
      <c r="H884" s="17" t="n"/>
      <c r="I884" s="17" t="n"/>
      <c r="J884" s="13">
        <f>IF($B884="","",MONTH($B884))</f>
        <v/>
      </c>
      <c r="K884" s="13">
        <f>IF($B884="","",YEAR($B884))</f>
        <v/>
      </c>
    </row>
    <row r="885">
      <c r="A885" s="18">
        <f>IF($B885="","",ROW()-9)</f>
        <v/>
      </c>
      <c r="B885" s="19" t="n"/>
      <c r="C885" s="4" t="n"/>
      <c r="D885" s="4" t="n"/>
      <c r="E885" s="4" t="n"/>
      <c r="F885" s="4">
        <f>IF($E885="","",IFERROR(VLOOKUP($E885,AKUN!$A$2:$B$200,2,FALSE),"Kode tidak ditemukan"))</f>
        <v/>
      </c>
      <c r="G885" s="4" t="n"/>
      <c r="H885" s="9" t="n"/>
      <c r="I885" s="9" t="n"/>
      <c r="J885" s="18">
        <f>IF($B885="","",MONTH($B885))</f>
        <v/>
      </c>
      <c r="K885" s="18">
        <f>IF($B885="","",YEAR($B885))</f>
        <v/>
      </c>
    </row>
    <row r="886">
      <c r="A886" s="13">
        <f>IF($B886="","",ROW()-9)</f>
        <v/>
      </c>
      <c r="B886" s="14" t="n"/>
      <c r="C886" s="15" t="n"/>
      <c r="D886" s="15" t="n"/>
      <c r="E886" s="15" t="n"/>
      <c r="F886" s="15">
        <f>IF($E886="","",IFERROR(VLOOKUP($E886,AKUN!$A$2:$B$200,2,FALSE),"Kode tidak ditemukan"))</f>
        <v/>
      </c>
      <c r="G886" s="15" t="n"/>
      <c r="H886" s="17" t="n"/>
      <c r="I886" s="17" t="n"/>
      <c r="J886" s="13">
        <f>IF($B886="","",MONTH($B886))</f>
        <v/>
      </c>
      <c r="K886" s="13">
        <f>IF($B886="","",YEAR($B886))</f>
        <v/>
      </c>
    </row>
    <row r="887">
      <c r="A887" s="18">
        <f>IF($B887="","",ROW()-9)</f>
        <v/>
      </c>
      <c r="B887" s="19" t="n"/>
      <c r="C887" s="4" t="n"/>
      <c r="D887" s="4" t="n"/>
      <c r="E887" s="4" t="n"/>
      <c r="F887" s="4">
        <f>IF($E887="","",IFERROR(VLOOKUP($E887,AKUN!$A$2:$B$200,2,FALSE),"Kode tidak ditemukan"))</f>
        <v/>
      </c>
      <c r="G887" s="4" t="n"/>
      <c r="H887" s="9" t="n"/>
      <c r="I887" s="9" t="n"/>
      <c r="J887" s="18">
        <f>IF($B887="","",MONTH($B887))</f>
        <v/>
      </c>
      <c r="K887" s="18">
        <f>IF($B887="","",YEAR($B887))</f>
        <v/>
      </c>
    </row>
    <row r="888">
      <c r="A888" s="13">
        <f>IF($B888="","",ROW()-9)</f>
        <v/>
      </c>
      <c r="B888" s="14" t="n"/>
      <c r="C888" s="15" t="n"/>
      <c r="D888" s="15" t="n"/>
      <c r="E888" s="15" t="n"/>
      <c r="F888" s="15">
        <f>IF($E888="","",IFERROR(VLOOKUP($E888,AKUN!$A$2:$B$200,2,FALSE),"Kode tidak ditemukan"))</f>
        <v/>
      </c>
      <c r="G888" s="15" t="n"/>
      <c r="H888" s="17" t="n"/>
      <c r="I888" s="17" t="n"/>
      <c r="J888" s="13">
        <f>IF($B888="","",MONTH($B888))</f>
        <v/>
      </c>
      <c r="K888" s="13">
        <f>IF($B888="","",YEAR($B888))</f>
        <v/>
      </c>
    </row>
    <row r="889">
      <c r="A889" s="18">
        <f>IF($B889="","",ROW()-9)</f>
        <v/>
      </c>
      <c r="B889" s="19" t="n"/>
      <c r="C889" s="4" t="n"/>
      <c r="D889" s="4" t="n"/>
      <c r="E889" s="4" t="n"/>
      <c r="F889" s="4">
        <f>IF($E889="","",IFERROR(VLOOKUP($E889,AKUN!$A$2:$B$200,2,FALSE),"Kode tidak ditemukan"))</f>
        <v/>
      </c>
      <c r="G889" s="4" t="n"/>
      <c r="H889" s="9" t="n"/>
      <c r="I889" s="9" t="n"/>
      <c r="J889" s="18">
        <f>IF($B889="","",MONTH($B889))</f>
        <v/>
      </c>
      <c r="K889" s="18">
        <f>IF($B889="","",YEAR($B889))</f>
        <v/>
      </c>
    </row>
    <row r="890">
      <c r="A890" s="13">
        <f>IF($B890="","",ROW()-9)</f>
        <v/>
      </c>
      <c r="B890" s="14" t="n"/>
      <c r="C890" s="15" t="n"/>
      <c r="D890" s="15" t="n"/>
      <c r="E890" s="15" t="n"/>
      <c r="F890" s="15">
        <f>IF($E890="","",IFERROR(VLOOKUP($E890,AKUN!$A$2:$B$200,2,FALSE),"Kode tidak ditemukan"))</f>
        <v/>
      </c>
      <c r="G890" s="15" t="n"/>
      <c r="H890" s="17" t="n"/>
      <c r="I890" s="17" t="n"/>
      <c r="J890" s="13">
        <f>IF($B890="","",MONTH($B890))</f>
        <v/>
      </c>
      <c r="K890" s="13">
        <f>IF($B890="","",YEAR($B890))</f>
        <v/>
      </c>
    </row>
    <row r="891">
      <c r="A891" s="18">
        <f>IF($B891="","",ROW()-9)</f>
        <v/>
      </c>
      <c r="B891" s="19" t="n"/>
      <c r="C891" s="4" t="n"/>
      <c r="D891" s="4" t="n"/>
      <c r="E891" s="4" t="n"/>
      <c r="F891" s="4">
        <f>IF($E891="","",IFERROR(VLOOKUP($E891,AKUN!$A$2:$B$200,2,FALSE),"Kode tidak ditemukan"))</f>
        <v/>
      </c>
      <c r="G891" s="4" t="n"/>
      <c r="H891" s="9" t="n"/>
      <c r="I891" s="9" t="n"/>
      <c r="J891" s="18">
        <f>IF($B891="","",MONTH($B891))</f>
        <v/>
      </c>
      <c r="K891" s="18">
        <f>IF($B891="","",YEAR($B891))</f>
        <v/>
      </c>
    </row>
    <row r="892">
      <c r="A892" s="13">
        <f>IF($B892="","",ROW()-9)</f>
        <v/>
      </c>
      <c r="B892" s="14" t="n"/>
      <c r="C892" s="15" t="n"/>
      <c r="D892" s="15" t="n"/>
      <c r="E892" s="15" t="n"/>
      <c r="F892" s="15">
        <f>IF($E892="","",IFERROR(VLOOKUP($E892,AKUN!$A$2:$B$200,2,FALSE),"Kode tidak ditemukan"))</f>
        <v/>
      </c>
      <c r="G892" s="15" t="n"/>
      <c r="H892" s="17" t="n"/>
      <c r="I892" s="17" t="n"/>
      <c r="J892" s="13">
        <f>IF($B892="","",MONTH($B892))</f>
        <v/>
      </c>
      <c r="K892" s="13">
        <f>IF($B892="","",YEAR($B892))</f>
        <v/>
      </c>
    </row>
    <row r="893">
      <c r="A893" s="18">
        <f>IF($B893="","",ROW()-9)</f>
        <v/>
      </c>
      <c r="B893" s="19" t="n"/>
      <c r="C893" s="4" t="n"/>
      <c r="D893" s="4" t="n"/>
      <c r="E893" s="4" t="n"/>
      <c r="F893" s="4">
        <f>IF($E893="","",IFERROR(VLOOKUP($E893,AKUN!$A$2:$B$200,2,FALSE),"Kode tidak ditemukan"))</f>
        <v/>
      </c>
      <c r="G893" s="4" t="n"/>
      <c r="H893" s="9" t="n"/>
      <c r="I893" s="9" t="n"/>
      <c r="J893" s="18">
        <f>IF($B893="","",MONTH($B893))</f>
        <v/>
      </c>
      <c r="K893" s="18">
        <f>IF($B893="","",YEAR($B893))</f>
        <v/>
      </c>
    </row>
    <row r="894">
      <c r="A894" s="13">
        <f>IF($B894="","",ROW()-9)</f>
        <v/>
      </c>
      <c r="B894" s="14" t="n"/>
      <c r="C894" s="15" t="n"/>
      <c r="D894" s="15" t="n"/>
      <c r="E894" s="15" t="n"/>
      <c r="F894" s="15">
        <f>IF($E894="","",IFERROR(VLOOKUP($E894,AKUN!$A$2:$B$200,2,FALSE),"Kode tidak ditemukan"))</f>
        <v/>
      </c>
      <c r="G894" s="15" t="n"/>
      <c r="H894" s="17" t="n"/>
      <c r="I894" s="17" t="n"/>
      <c r="J894" s="13">
        <f>IF($B894="","",MONTH($B894))</f>
        <v/>
      </c>
      <c r="K894" s="13">
        <f>IF($B894="","",YEAR($B894))</f>
        <v/>
      </c>
    </row>
    <row r="895">
      <c r="A895" s="18">
        <f>IF($B895="","",ROW()-9)</f>
        <v/>
      </c>
      <c r="B895" s="19" t="n"/>
      <c r="C895" s="4" t="n"/>
      <c r="D895" s="4" t="n"/>
      <c r="E895" s="4" t="n"/>
      <c r="F895" s="4">
        <f>IF($E895="","",IFERROR(VLOOKUP($E895,AKUN!$A$2:$B$200,2,FALSE),"Kode tidak ditemukan"))</f>
        <v/>
      </c>
      <c r="G895" s="4" t="n"/>
      <c r="H895" s="9" t="n"/>
      <c r="I895" s="9" t="n"/>
      <c r="J895" s="18">
        <f>IF($B895="","",MONTH($B895))</f>
        <v/>
      </c>
      <c r="K895" s="18">
        <f>IF($B895="","",YEAR($B895))</f>
        <v/>
      </c>
    </row>
    <row r="896">
      <c r="A896" s="13">
        <f>IF($B896="","",ROW()-9)</f>
        <v/>
      </c>
      <c r="B896" s="14" t="n"/>
      <c r="C896" s="15" t="n"/>
      <c r="D896" s="15" t="n"/>
      <c r="E896" s="15" t="n"/>
      <c r="F896" s="15">
        <f>IF($E896="","",IFERROR(VLOOKUP($E896,AKUN!$A$2:$B$200,2,FALSE),"Kode tidak ditemukan"))</f>
        <v/>
      </c>
      <c r="G896" s="15" t="n"/>
      <c r="H896" s="17" t="n"/>
      <c r="I896" s="17" t="n"/>
      <c r="J896" s="13">
        <f>IF($B896="","",MONTH($B896))</f>
        <v/>
      </c>
      <c r="K896" s="13">
        <f>IF($B896="","",YEAR($B896))</f>
        <v/>
      </c>
    </row>
    <row r="897">
      <c r="A897" s="18">
        <f>IF($B897="","",ROW()-9)</f>
        <v/>
      </c>
      <c r="B897" s="19" t="n"/>
      <c r="C897" s="4" t="n"/>
      <c r="D897" s="4" t="n"/>
      <c r="E897" s="4" t="n"/>
      <c r="F897" s="4">
        <f>IF($E897="","",IFERROR(VLOOKUP($E897,AKUN!$A$2:$B$200,2,FALSE),"Kode tidak ditemukan"))</f>
        <v/>
      </c>
      <c r="G897" s="4" t="n"/>
      <c r="H897" s="9" t="n"/>
      <c r="I897" s="9" t="n"/>
      <c r="J897" s="18">
        <f>IF($B897="","",MONTH($B897))</f>
        <v/>
      </c>
      <c r="K897" s="18">
        <f>IF($B897="","",YEAR($B897))</f>
        <v/>
      </c>
    </row>
    <row r="898">
      <c r="A898" s="13">
        <f>IF($B898="","",ROW()-9)</f>
        <v/>
      </c>
      <c r="B898" s="14" t="n"/>
      <c r="C898" s="15" t="n"/>
      <c r="D898" s="15" t="n"/>
      <c r="E898" s="15" t="n"/>
      <c r="F898" s="15">
        <f>IF($E898="","",IFERROR(VLOOKUP($E898,AKUN!$A$2:$B$200,2,FALSE),"Kode tidak ditemukan"))</f>
        <v/>
      </c>
      <c r="G898" s="15" t="n"/>
      <c r="H898" s="17" t="n"/>
      <c r="I898" s="17" t="n"/>
      <c r="J898" s="13">
        <f>IF($B898="","",MONTH($B898))</f>
        <v/>
      </c>
      <c r="K898" s="13">
        <f>IF($B898="","",YEAR($B898))</f>
        <v/>
      </c>
    </row>
    <row r="899">
      <c r="A899" s="18">
        <f>IF($B899="","",ROW()-9)</f>
        <v/>
      </c>
      <c r="B899" s="19" t="n"/>
      <c r="C899" s="4" t="n"/>
      <c r="D899" s="4" t="n"/>
      <c r="E899" s="4" t="n"/>
      <c r="F899" s="4">
        <f>IF($E899="","",IFERROR(VLOOKUP($E899,AKUN!$A$2:$B$200,2,FALSE),"Kode tidak ditemukan"))</f>
        <v/>
      </c>
      <c r="G899" s="4" t="n"/>
      <c r="H899" s="9" t="n"/>
      <c r="I899" s="9" t="n"/>
      <c r="J899" s="18">
        <f>IF($B899="","",MONTH($B899))</f>
        <v/>
      </c>
      <c r="K899" s="18">
        <f>IF($B899="","",YEAR($B899))</f>
        <v/>
      </c>
    </row>
    <row r="900">
      <c r="A900" s="13">
        <f>IF($B900="","",ROW()-9)</f>
        <v/>
      </c>
      <c r="B900" s="14" t="n"/>
      <c r="C900" s="15" t="n"/>
      <c r="D900" s="15" t="n"/>
      <c r="E900" s="15" t="n"/>
      <c r="F900" s="15">
        <f>IF($E900="","",IFERROR(VLOOKUP($E900,AKUN!$A$2:$B$200,2,FALSE),"Kode tidak ditemukan"))</f>
        <v/>
      </c>
      <c r="G900" s="15" t="n"/>
      <c r="H900" s="17" t="n"/>
      <c r="I900" s="17" t="n"/>
      <c r="J900" s="13">
        <f>IF($B900="","",MONTH($B900))</f>
        <v/>
      </c>
      <c r="K900" s="13">
        <f>IF($B900="","",YEAR($B900))</f>
        <v/>
      </c>
    </row>
    <row r="901">
      <c r="A901" s="18">
        <f>IF($B901="","",ROW()-9)</f>
        <v/>
      </c>
      <c r="B901" s="19" t="n"/>
      <c r="C901" s="4" t="n"/>
      <c r="D901" s="4" t="n"/>
      <c r="E901" s="4" t="n"/>
      <c r="F901" s="4">
        <f>IF($E901="","",IFERROR(VLOOKUP($E901,AKUN!$A$2:$B$200,2,FALSE),"Kode tidak ditemukan"))</f>
        <v/>
      </c>
      <c r="G901" s="4" t="n"/>
      <c r="H901" s="9" t="n"/>
      <c r="I901" s="9" t="n"/>
      <c r="J901" s="18">
        <f>IF($B901="","",MONTH($B901))</f>
        <v/>
      </c>
      <c r="K901" s="18">
        <f>IF($B901="","",YEAR($B901))</f>
        <v/>
      </c>
    </row>
    <row r="902">
      <c r="A902" s="13">
        <f>IF($B902="","",ROW()-9)</f>
        <v/>
      </c>
      <c r="B902" s="14" t="n"/>
      <c r="C902" s="15" t="n"/>
      <c r="D902" s="15" t="n"/>
      <c r="E902" s="15" t="n"/>
      <c r="F902" s="15">
        <f>IF($E902="","",IFERROR(VLOOKUP($E902,AKUN!$A$2:$B$200,2,FALSE),"Kode tidak ditemukan"))</f>
        <v/>
      </c>
      <c r="G902" s="15" t="n"/>
      <c r="H902" s="17" t="n"/>
      <c r="I902" s="17" t="n"/>
      <c r="J902" s="13">
        <f>IF($B902="","",MONTH($B902))</f>
        <v/>
      </c>
      <c r="K902" s="13">
        <f>IF($B902="","",YEAR($B902))</f>
        <v/>
      </c>
    </row>
    <row r="903">
      <c r="A903" s="18">
        <f>IF($B903="","",ROW()-9)</f>
        <v/>
      </c>
      <c r="B903" s="19" t="n"/>
      <c r="C903" s="4" t="n"/>
      <c r="D903" s="4" t="n"/>
      <c r="E903" s="4" t="n"/>
      <c r="F903" s="4">
        <f>IF($E903="","",IFERROR(VLOOKUP($E903,AKUN!$A$2:$B$200,2,FALSE),"Kode tidak ditemukan"))</f>
        <v/>
      </c>
      <c r="G903" s="4" t="n"/>
      <c r="H903" s="9" t="n"/>
      <c r="I903" s="9" t="n"/>
      <c r="J903" s="18">
        <f>IF($B903="","",MONTH($B903))</f>
        <v/>
      </c>
      <c r="K903" s="18">
        <f>IF($B903="","",YEAR($B903))</f>
        <v/>
      </c>
    </row>
    <row r="904">
      <c r="A904" s="13">
        <f>IF($B904="","",ROW()-9)</f>
        <v/>
      </c>
      <c r="B904" s="14" t="n"/>
      <c r="C904" s="15" t="n"/>
      <c r="D904" s="15" t="n"/>
      <c r="E904" s="15" t="n"/>
      <c r="F904" s="15">
        <f>IF($E904="","",IFERROR(VLOOKUP($E904,AKUN!$A$2:$B$200,2,FALSE),"Kode tidak ditemukan"))</f>
        <v/>
      </c>
      <c r="G904" s="15" t="n"/>
      <c r="H904" s="17" t="n"/>
      <c r="I904" s="17" t="n"/>
      <c r="J904" s="13">
        <f>IF($B904="","",MONTH($B904))</f>
        <v/>
      </c>
      <c r="K904" s="13">
        <f>IF($B904="","",YEAR($B904))</f>
        <v/>
      </c>
    </row>
    <row r="905">
      <c r="A905" s="18">
        <f>IF($B905="","",ROW()-9)</f>
        <v/>
      </c>
      <c r="B905" s="19" t="n"/>
      <c r="C905" s="4" t="n"/>
      <c r="D905" s="4" t="n"/>
      <c r="E905" s="4" t="n"/>
      <c r="F905" s="4">
        <f>IF($E905="","",IFERROR(VLOOKUP($E905,AKUN!$A$2:$B$200,2,FALSE),"Kode tidak ditemukan"))</f>
        <v/>
      </c>
      <c r="G905" s="4" t="n"/>
      <c r="H905" s="9" t="n"/>
      <c r="I905" s="9" t="n"/>
      <c r="J905" s="18">
        <f>IF($B905="","",MONTH($B905))</f>
        <v/>
      </c>
      <c r="K905" s="18">
        <f>IF($B905="","",YEAR($B905))</f>
        <v/>
      </c>
    </row>
    <row r="906">
      <c r="A906" s="13">
        <f>IF($B906="","",ROW()-9)</f>
        <v/>
      </c>
      <c r="B906" s="14" t="n"/>
      <c r="C906" s="15" t="n"/>
      <c r="D906" s="15" t="n"/>
      <c r="E906" s="15" t="n"/>
      <c r="F906" s="15">
        <f>IF($E906="","",IFERROR(VLOOKUP($E906,AKUN!$A$2:$B$200,2,FALSE),"Kode tidak ditemukan"))</f>
        <v/>
      </c>
      <c r="G906" s="15" t="n"/>
      <c r="H906" s="17" t="n"/>
      <c r="I906" s="17" t="n"/>
      <c r="J906" s="13">
        <f>IF($B906="","",MONTH($B906))</f>
        <v/>
      </c>
      <c r="K906" s="13">
        <f>IF($B906="","",YEAR($B906))</f>
        <v/>
      </c>
    </row>
    <row r="907">
      <c r="A907" s="18">
        <f>IF($B907="","",ROW()-9)</f>
        <v/>
      </c>
      <c r="B907" s="19" t="n"/>
      <c r="C907" s="4" t="n"/>
      <c r="D907" s="4" t="n"/>
      <c r="E907" s="4" t="n"/>
      <c r="F907" s="4">
        <f>IF($E907="","",IFERROR(VLOOKUP($E907,AKUN!$A$2:$B$200,2,FALSE),"Kode tidak ditemukan"))</f>
        <v/>
      </c>
      <c r="G907" s="4" t="n"/>
      <c r="H907" s="9" t="n"/>
      <c r="I907" s="9" t="n"/>
      <c r="J907" s="18">
        <f>IF($B907="","",MONTH($B907))</f>
        <v/>
      </c>
      <c r="K907" s="18">
        <f>IF($B907="","",YEAR($B907))</f>
        <v/>
      </c>
    </row>
    <row r="908">
      <c r="A908" s="13">
        <f>IF($B908="","",ROW()-9)</f>
        <v/>
      </c>
      <c r="B908" s="14" t="n"/>
      <c r="C908" s="15" t="n"/>
      <c r="D908" s="15" t="n"/>
      <c r="E908" s="15" t="n"/>
      <c r="F908" s="15">
        <f>IF($E908="","",IFERROR(VLOOKUP($E908,AKUN!$A$2:$B$200,2,FALSE),"Kode tidak ditemukan"))</f>
        <v/>
      </c>
      <c r="G908" s="15" t="n"/>
      <c r="H908" s="17" t="n"/>
      <c r="I908" s="17" t="n"/>
      <c r="J908" s="13">
        <f>IF($B908="","",MONTH($B908))</f>
        <v/>
      </c>
      <c r="K908" s="13">
        <f>IF($B908="","",YEAR($B908))</f>
        <v/>
      </c>
    </row>
    <row r="909">
      <c r="A909" s="18">
        <f>IF($B909="","",ROW()-9)</f>
        <v/>
      </c>
      <c r="B909" s="19" t="n"/>
      <c r="C909" s="4" t="n"/>
      <c r="D909" s="4" t="n"/>
      <c r="E909" s="4" t="n"/>
      <c r="F909" s="4">
        <f>IF($E909="","",IFERROR(VLOOKUP($E909,AKUN!$A$2:$B$200,2,FALSE),"Kode tidak ditemukan"))</f>
        <v/>
      </c>
      <c r="G909" s="4" t="n"/>
      <c r="H909" s="9" t="n"/>
      <c r="I909" s="9" t="n"/>
      <c r="J909" s="18">
        <f>IF($B909="","",MONTH($B909))</f>
        <v/>
      </c>
      <c r="K909" s="18">
        <f>IF($B909="","",YEAR($B909))</f>
        <v/>
      </c>
    </row>
    <row r="910">
      <c r="A910" s="13">
        <f>IF($B910="","",ROW()-9)</f>
        <v/>
      </c>
      <c r="B910" s="14" t="n"/>
      <c r="C910" s="15" t="n"/>
      <c r="D910" s="15" t="n"/>
      <c r="E910" s="15" t="n"/>
      <c r="F910" s="15">
        <f>IF($E910="","",IFERROR(VLOOKUP($E910,AKUN!$A$2:$B$200,2,FALSE),"Kode tidak ditemukan"))</f>
        <v/>
      </c>
      <c r="G910" s="15" t="n"/>
      <c r="H910" s="17" t="n"/>
      <c r="I910" s="17" t="n"/>
      <c r="J910" s="13">
        <f>IF($B910="","",MONTH($B910))</f>
        <v/>
      </c>
      <c r="K910" s="13">
        <f>IF($B910="","",YEAR($B910))</f>
        <v/>
      </c>
    </row>
    <row r="911">
      <c r="A911" s="18">
        <f>IF($B911="","",ROW()-9)</f>
        <v/>
      </c>
      <c r="B911" s="19" t="n"/>
      <c r="C911" s="4" t="n"/>
      <c r="D911" s="4" t="n"/>
      <c r="E911" s="4" t="n"/>
      <c r="F911" s="4">
        <f>IF($E911="","",IFERROR(VLOOKUP($E911,AKUN!$A$2:$B$200,2,FALSE),"Kode tidak ditemukan"))</f>
        <v/>
      </c>
      <c r="G911" s="4" t="n"/>
      <c r="H911" s="9" t="n"/>
      <c r="I911" s="9" t="n"/>
      <c r="J911" s="18">
        <f>IF($B911="","",MONTH($B911))</f>
        <v/>
      </c>
      <c r="K911" s="18">
        <f>IF($B911="","",YEAR($B911))</f>
        <v/>
      </c>
    </row>
    <row r="912">
      <c r="A912" s="13">
        <f>IF($B912="","",ROW()-9)</f>
        <v/>
      </c>
      <c r="B912" s="14" t="n"/>
      <c r="C912" s="15" t="n"/>
      <c r="D912" s="15" t="n"/>
      <c r="E912" s="15" t="n"/>
      <c r="F912" s="15">
        <f>IF($E912="","",IFERROR(VLOOKUP($E912,AKUN!$A$2:$B$200,2,FALSE),"Kode tidak ditemukan"))</f>
        <v/>
      </c>
      <c r="G912" s="15" t="n"/>
      <c r="H912" s="17" t="n"/>
      <c r="I912" s="17" t="n"/>
      <c r="J912" s="13">
        <f>IF($B912="","",MONTH($B912))</f>
        <v/>
      </c>
      <c r="K912" s="13">
        <f>IF($B912="","",YEAR($B912))</f>
        <v/>
      </c>
    </row>
    <row r="913">
      <c r="A913" s="18">
        <f>IF($B913="","",ROW()-9)</f>
        <v/>
      </c>
      <c r="B913" s="19" t="n"/>
      <c r="C913" s="4" t="n"/>
      <c r="D913" s="4" t="n"/>
      <c r="E913" s="4" t="n"/>
      <c r="F913" s="4">
        <f>IF($E913="","",IFERROR(VLOOKUP($E913,AKUN!$A$2:$B$200,2,FALSE),"Kode tidak ditemukan"))</f>
        <v/>
      </c>
      <c r="G913" s="4" t="n"/>
      <c r="H913" s="9" t="n"/>
      <c r="I913" s="9" t="n"/>
      <c r="J913" s="18">
        <f>IF($B913="","",MONTH($B913))</f>
        <v/>
      </c>
      <c r="K913" s="18">
        <f>IF($B913="","",YEAR($B913))</f>
        <v/>
      </c>
    </row>
    <row r="914">
      <c r="A914" s="13">
        <f>IF($B914="","",ROW()-9)</f>
        <v/>
      </c>
      <c r="B914" s="14" t="n"/>
      <c r="C914" s="15" t="n"/>
      <c r="D914" s="15" t="n"/>
      <c r="E914" s="15" t="n"/>
      <c r="F914" s="15">
        <f>IF($E914="","",IFERROR(VLOOKUP($E914,AKUN!$A$2:$B$200,2,FALSE),"Kode tidak ditemukan"))</f>
        <v/>
      </c>
      <c r="G914" s="15" t="n"/>
      <c r="H914" s="17" t="n"/>
      <c r="I914" s="17" t="n"/>
      <c r="J914" s="13">
        <f>IF($B914="","",MONTH($B914))</f>
        <v/>
      </c>
      <c r="K914" s="13">
        <f>IF($B914="","",YEAR($B914))</f>
        <v/>
      </c>
    </row>
    <row r="915">
      <c r="A915" s="18">
        <f>IF($B915="","",ROW()-9)</f>
        <v/>
      </c>
      <c r="B915" s="19" t="n"/>
      <c r="C915" s="4" t="n"/>
      <c r="D915" s="4" t="n"/>
      <c r="E915" s="4" t="n"/>
      <c r="F915" s="4">
        <f>IF($E915="","",IFERROR(VLOOKUP($E915,AKUN!$A$2:$B$200,2,FALSE),"Kode tidak ditemukan"))</f>
        <v/>
      </c>
      <c r="G915" s="4" t="n"/>
      <c r="H915" s="9" t="n"/>
      <c r="I915" s="9" t="n"/>
      <c r="J915" s="18">
        <f>IF($B915="","",MONTH($B915))</f>
        <v/>
      </c>
      <c r="K915" s="18">
        <f>IF($B915="","",YEAR($B915))</f>
        <v/>
      </c>
    </row>
    <row r="916">
      <c r="A916" s="13">
        <f>IF($B916="","",ROW()-9)</f>
        <v/>
      </c>
      <c r="B916" s="14" t="n"/>
      <c r="C916" s="15" t="n"/>
      <c r="D916" s="15" t="n"/>
      <c r="E916" s="15" t="n"/>
      <c r="F916" s="15">
        <f>IF($E916="","",IFERROR(VLOOKUP($E916,AKUN!$A$2:$B$200,2,FALSE),"Kode tidak ditemukan"))</f>
        <v/>
      </c>
      <c r="G916" s="15" t="n"/>
      <c r="H916" s="17" t="n"/>
      <c r="I916" s="17" t="n"/>
      <c r="J916" s="13">
        <f>IF($B916="","",MONTH($B916))</f>
        <v/>
      </c>
      <c r="K916" s="13">
        <f>IF($B916="","",YEAR($B916))</f>
        <v/>
      </c>
    </row>
    <row r="917">
      <c r="A917" s="18">
        <f>IF($B917="","",ROW()-9)</f>
        <v/>
      </c>
      <c r="B917" s="19" t="n"/>
      <c r="C917" s="4" t="n"/>
      <c r="D917" s="4" t="n"/>
      <c r="E917" s="4" t="n"/>
      <c r="F917" s="4">
        <f>IF($E917="","",IFERROR(VLOOKUP($E917,AKUN!$A$2:$B$200,2,FALSE),"Kode tidak ditemukan"))</f>
        <v/>
      </c>
      <c r="G917" s="4" t="n"/>
      <c r="H917" s="9" t="n"/>
      <c r="I917" s="9" t="n"/>
      <c r="J917" s="18">
        <f>IF($B917="","",MONTH($B917))</f>
        <v/>
      </c>
      <c r="K917" s="18">
        <f>IF($B917="","",YEAR($B917))</f>
        <v/>
      </c>
    </row>
    <row r="918">
      <c r="A918" s="13">
        <f>IF($B918="","",ROW()-9)</f>
        <v/>
      </c>
      <c r="B918" s="14" t="n"/>
      <c r="C918" s="15" t="n"/>
      <c r="D918" s="15" t="n"/>
      <c r="E918" s="15" t="n"/>
      <c r="F918" s="15">
        <f>IF($E918="","",IFERROR(VLOOKUP($E918,AKUN!$A$2:$B$200,2,FALSE),"Kode tidak ditemukan"))</f>
        <v/>
      </c>
      <c r="G918" s="15" t="n"/>
      <c r="H918" s="17" t="n"/>
      <c r="I918" s="17" t="n"/>
      <c r="J918" s="13">
        <f>IF($B918="","",MONTH($B918))</f>
        <v/>
      </c>
      <c r="K918" s="13">
        <f>IF($B918="","",YEAR($B918))</f>
        <v/>
      </c>
    </row>
    <row r="919">
      <c r="A919" s="18">
        <f>IF($B919="","",ROW()-9)</f>
        <v/>
      </c>
      <c r="B919" s="19" t="n"/>
      <c r="C919" s="4" t="n"/>
      <c r="D919" s="4" t="n"/>
      <c r="E919" s="4" t="n"/>
      <c r="F919" s="4">
        <f>IF($E919="","",IFERROR(VLOOKUP($E919,AKUN!$A$2:$B$200,2,FALSE),"Kode tidak ditemukan"))</f>
        <v/>
      </c>
      <c r="G919" s="4" t="n"/>
      <c r="H919" s="9" t="n"/>
      <c r="I919" s="9" t="n"/>
      <c r="J919" s="18">
        <f>IF($B919="","",MONTH($B919))</f>
        <v/>
      </c>
      <c r="K919" s="18">
        <f>IF($B919="","",YEAR($B919))</f>
        <v/>
      </c>
    </row>
    <row r="920">
      <c r="A920" s="13">
        <f>IF($B920="","",ROW()-9)</f>
        <v/>
      </c>
      <c r="B920" s="14" t="n"/>
      <c r="C920" s="15" t="n"/>
      <c r="D920" s="15" t="n"/>
      <c r="E920" s="15" t="n"/>
      <c r="F920" s="15">
        <f>IF($E920="","",IFERROR(VLOOKUP($E920,AKUN!$A$2:$B$200,2,FALSE),"Kode tidak ditemukan"))</f>
        <v/>
      </c>
      <c r="G920" s="15" t="n"/>
      <c r="H920" s="17" t="n"/>
      <c r="I920" s="17" t="n"/>
      <c r="J920" s="13">
        <f>IF($B920="","",MONTH($B920))</f>
        <v/>
      </c>
      <c r="K920" s="13">
        <f>IF($B920="","",YEAR($B920))</f>
        <v/>
      </c>
    </row>
    <row r="921">
      <c r="A921" s="18">
        <f>IF($B921="","",ROW()-9)</f>
        <v/>
      </c>
      <c r="B921" s="19" t="n"/>
      <c r="C921" s="4" t="n"/>
      <c r="D921" s="4" t="n"/>
      <c r="E921" s="4" t="n"/>
      <c r="F921" s="4">
        <f>IF($E921="","",IFERROR(VLOOKUP($E921,AKUN!$A$2:$B$200,2,FALSE),"Kode tidak ditemukan"))</f>
        <v/>
      </c>
      <c r="G921" s="4" t="n"/>
      <c r="H921" s="9" t="n"/>
      <c r="I921" s="9" t="n"/>
      <c r="J921" s="18">
        <f>IF($B921="","",MONTH($B921))</f>
        <v/>
      </c>
      <c r="K921" s="18">
        <f>IF($B921="","",YEAR($B921))</f>
        <v/>
      </c>
    </row>
    <row r="922">
      <c r="A922" s="13">
        <f>IF($B922="","",ROW()-9)</f>
        <v/>
      </c>
      <c r="B922" s="14" t="n"/>
      <c r="C922" s="15" t="n"/>
      <c r="D922" s="15" t="n"/>
      <c r="E922" s="15" t="n"/>
      <c r="F922" s="15">
        <f>IF($E922="","",IFERROR(VLOOKUP($E922,AKUN!$A$2:$B$200,2,FALSE),"Kode tidak ditemukan"))</f>
        <v/>
      </c>
      <c r="G922" s="15" t="n"/>
      <c r="H922" s="17" t="n"/>
      <c r="I922" s="17" t="n"/>
      <c r="J922" s="13">
        <f>IF($B922="","",MONTH($B922))</f>
        <v/>
      </c>
      <c r="K922" s="13">
        <f>IF($B922="","",YEAR($B922))</f>
        <v/>
      </c>
    </row>
    <row r="923">
      <c r="A923" s="18">
        <f>IF($B923="","",ROW()-9)</f>
        <v/>
      </c>
      <c r="B923" s="19" t="n"/>
      <c r="C923" s="4" t="n"/>
      <c r="D923" s="4" t="n"/>
      <c r="E923" s="4" t="n"/>
      <c r="F923" s="4">
        <f>IF($E923="","",IFERROR(VLOOKUP($E923,AKUN!$A$2:$B$200,2,FALSE),"Kode tidak ditemukan"))</f>
        <v/>
      </c>
      <c r="G923" s="4" t="n"/>
      <c r="H923" s="9" t="n"/>
      <c r="I923" s="9" t="n"/>
      <c r="J923" s="18">
        <f>IF($B923="","",MONTH($B923))</f>
        <v/>
      </c>
      <c r="K923" s="18">
        <f>IF($B923="","",YEAR($B923))</f>
        <v/>
      </c>
    </row>
    <row r="924">
      <c r="A924" s="13">
        <f>IF($B924="","",ROW()-9)</f>
        <v/>
      </c>
      <c r="B924" s="14" t="n"/>
      <c r="C924" s="15" t="n"/>
      <c r="D924" s="15" t="n"/>
      <c r="E924" s="15" t="n"/>
      <c r="F924" s="15">
        <f>IF($E924="","",IFERROR(VLOOKUP($E924,AKUN!$A$2:$B$200,2,FALSE),"Kode tidak ditemukan"))</f>
        <v/>
      </c>
      <c r="G924" s="15" t="n"/>
      <c r="H924" s="17" t="n"/>
      <c r="I924" s="17" t="n"/>
      <c r="J924" s="13">
        <f>IF($B924="","",MONTH($B924))</f>
        <v/>
      </c>
      <c r="K924" s="13">
        <f>IF($B924="","",YEAR($B924))</f>
        <v/>
      </c>
    </row>
    <row r="925">
      <c r="A925" s="18">
        <f>IF($B925="","",ROW()-9)</f>
        <v/>
      </c>
      <c r="B925" s="19" t="n"/>
      <c r="C925" s="4" t="n"/>
      <c r="D925" s="4" t="n"/>
      <c r="E925" s="4" t="n"/>
      <c r="F925" s="4">
        <f>IF($E925="","",IFERROR(VLOOKUP($E925,AKUN!$A$2:$B$200,2,FALSE),"Kode tidak ditemukan"))</f>
        <v/>
      </c>
      <c r="G925" s="4" t="n"/>
      <c r="H925" s="9" t="n"/>
      <c r="I925" s="9" t="n"/>
      <c r="J925" s="18">
        <f>IF($B925="","",MONTH($B925))</f>
        <v/>
      </c>
      <c r="K925" s="18">
        <f>IF($B925="","",YEAR($B925))</f>
        <v/>
      </c>
    </row>
    <row r="926">
      <c r="A926" s="13">
        <f>IF($B926="","",ROW()-9)</f>
        <v/>
      </c>
      <c r="B926" s="14" t="n"/>
      <c r="C926" s="15" t="n"/>
      <c r="D926" s="15" t="n"/>
      <c r="E926" s="15" t="n"/>
      <c r="F926" s="15">
        <f>IF($E926="","",IFERROR(VLOOKUP($E926,AKUN!$A$2:$B$200,2,FALSE),"Kode tidak ditemukan"))</f>
        <v/>
      </c>
      <c r="G926" s="15" t="n"/>
      <c r="H926" s="17" t="n"/>
      <c r="I926" s="17" t="n"/>
      <c r="J926" s="13">
        <f>IF($B926="","",MONTH($B926))</f>
        <v/>
      </c>
      <c r="K926" s="13">
        <f>IF($B926="","",YEAR($B926))</f>
        <v/>
      </c>
    </row>
    <row r="927">
      <c r="A927" s="18">
        <f>IF($B927="","",ROW()-9)</f>
        <v/>
      </c>
      <c r="B927" s="19" t="n"/>
      <c r="C927" s="4" t="n"/>
      <c r="D927" s="4" t="n"/>
      <c r="E927" s="4" t="n"/>
      <c r="F927" s="4">
        <f>IF($E927="","",IFERROR(VLOOKUP($E927,AKUN!$A$2:$B$200,2,FALSE),"Kode tidak ditemukan"))</f>
        <v/>
      </c>
      <c r="G927" s="4" t="n"/>
      <c r="H927" s="9" t="n"/>
      <c r="I927" s="9" t="n"/>
      <c r="J927" s="18">
        <f>IF($B927="","",MONTH($B927))</f>
        <v/>
      </c>
      <c r="K927" s="18">
        <f>IF($B927="","",YEAR($B927))</f>
        <v/>
      </c>
    </row>
    <row r="928">
      <c r="A928" s="13">
        <f>IF($B928="","",ROW()-9)</f>
        <v/>
      </c>
      <c r="B928" s="14" t="n"/>
      <c r="C928" s="15" t="n"/>
      <c r="D928" s="15" t="n"/>
      <c r="E928" s="15" t="n"/>
      <c r="F928" s="15">
        <f>IF($E928="","",IFERROR(VLOOKUP($E928,AKUN!$A$2:$B$200,2,FALSE),"Kode tidak ditemukan"))</f>
        <v/>
      </c>
      <c r="G928" s="15" t="n"/>
      <c r="H928" s="17" t="n"/>
      <c r="I928" s="17" t="n"/>
      <c r="J928" s="13">
        <f>IF($B928="","",MONTH($B928))</f>
        <v/>
      </c>
      <c r="K928" s="13">
        <f>IF($B928="","",YEAR($B928))</f>
        <v/>
      </c>
    </row>
    <row r="929">
      <c r="A929" s="18">
        <f>IF($B929="","",ROW()-9)</f>
        <v/>
      </c>
      <c r="B929" s="19" t="n"/>
      <c r="C929" s="4" t="n"/>
      <c r="D929" s="4" t="n"/>
      <c r="E929" s="4" t="n"/>
      <c r="F929" s="4">
        <f>IF($E929="","",IFERROR(VLOOKUP($E929,AKUN!$A$2:$B$200,2,FALSE),"Kode tidak ditemukan"))</f>
        <v/>
      </c>
      <c r="G929" s="4" t="n"/>
      <c r="H929" s="9" t="n"/>
      <c r="I929" s="9" t="n"/>
      <c r="J929" s="18">
        <f>IF($B929="","",MONTH($B929))</f>
        <v/>
      </c>
      <c r="K929" s="18">
        <f>IF($B929="","",YEAR($B929))</f>
        <v/>
      </c>
    </row>
    <row r="930">
      <c r="A930" s="13">
        <f>IF($B930="","",ROW()-9)</f>
        <v/>
      </c>
      <c r="B930" s="14" t="n"/>
      <c r="C930" s="15" t="n"/>
      <c r="D930" s="15" t="n"/>
      <c r="E930" s="15" t="n"/>
      <c r="F930" s="15">
        <f>IF($E930="","",IFERROR(VLOOKUP($E930,AKUN!$A$2:$B$200,2,FALSE),"Kode tidak ditemukan"))</f>
        <v/>
      </c>
      <c r="G930" s="15" t="n"/>
      <c r="H930" s="17" t="n"/>
      <c r="I930" s="17" t="n"/>
      <c r="J930" s="13">
        <f>IF($B930="","",MONTH($B930))</f>
        <v/>
      </c>
      <c r="K930" s="13">
        <f>IF($B930="","",YEAR($B930))</f>
        <v/>
      </c>
    </row>
    <row r="931">
      <c r="A931" s="18">
        <f>IF($B931="","",ROW()-9)</f>
        <v/>
      </c>
      <c r="B931" s="19" t="n"/>
      <c r="C931" s="4" t="n"/>
      <c r="D931" s="4" t="n"/>
      <c r="E931" s="4" t="n"/>
      <c r="F931" s="4">
        <f>IF($E931="","",IFERROR(VLOOKUP($E931,AKUN!$A$2:$B$200,2,FALSE),"Kode tidak ditemukan"))</f>
        <v/>
      </c>
      <c r="G931" s="4" t="n"/>
      <c r="H931" s="9" t="n"/>
      <c r="I931" s="9" t="n"/>
      <c r="J931" s="18">
        <f>IF($B931="","",MONTH($B931))</f>
        <v/>
      </c>
      <c r="K931" s="18">
        <f>IF($B931="","",YEAR($B931))</f>
        <v/>
      </c>
    </row>
    <row r="932">
      <c r="A932" s="13">
        <f>IF($B932="","",ROW()-9)</f>
        <v/>
      </c>
      <c r="B932" s="14" t="n"/>
      <c r="C932" s="15" t="n"/>
      <c r="D932" s="15" t="n"/>
      <c r="E932" s="15" t="n"/>
      <c r="F932" s="15">
        <f>IF($E932="","",IFERROR(VLOOKUP($E932,AKUN!$A$2:$B$200,2,FALSE),"Kode tidak ditemukan"))</f>
        <v/>
      </c>
      <c r="G932" s="15" t="n"/>
      <c r="H932" s="17" t="n"/>
      <c r="I932" s="17" t="n"/>
      <c r="J932" s="13">
        <f>IF($B932="","",MONTH($B932))</f>
        <v/>
      </c>
      <c r="K932" s="13">
        <f>IF($B932="","",YEAR($B932))</f>
        <v/>
      </c>
    </row>
    <row r="933">
      <c r="A933" s="18">
        <f>IF($B933="","",ROW()-9)</f>
        <v/>
      </c>
      <c r="B933" s="19" t="n"/>
      <c r="C933" s="4" t="n"/>
      <c r="D933" s="4" t="n"/>
      <c r="E933" s="4" t="n"/>
      <c r="F933" s="4">
        <f>IF($E933="","",IFERROR(VLOOKUP($E933,AKUN!$A$2:$B$200,2,FALSE),"Kode tidak ditemukan"))</f>
        <v/>
      </c>
      <c r="G933" s="4" t="n"/>
      <c r="H933" s="9" t="n"/>
      <c r="I933" s="9" t="n"/>
      <c r="J933" s="18">
        <f>IF($B933="","",MONTH($B933))</f>
        <v/>
      </c>
      <c r="K933" s="18">
        <f>IF($B933="","",YEAR($B933))</f>
        <v/>
      </c>
    </row>
    <row r="934">
      <c r="A934" s="13">
        <f>IF($B934="","",ROW()-9)</f>
        <v/>
      </c>
      <c r="B934" s="14" t="n"/>
      <c r="C934" s="15" t="n"/>
      <c r="D934" s="15" t="n"/>
      <c r="E934" s="15" t="n"/>
      <c r="F934" s="15">
        <f>IF($E934="","",IFERROR(VLOOKUP($E934,AKUN!$A$2:$B$200,2,FALSE),"Kode tidak ditemukan"))</f>
        <v/>
      </c>
      <c r="G934" s="15" t="n"/>
      <c r="H934" s="17" t="n"/>
      <c r="I934" s="17" t="n"/>
      <c r="J934" s="13">
        <f>IF($B934="","",MONTH($B934))</f>
        <v/>
      </c>
      <c r="K934" s="13">
        <f>IF($B934="","",YEAR($B934))</f>
        <v/>
      </c>
    </row>
    <row r="935">
      <c r="A935" s="18">
        <f>IF($B935="","",ROW()-9)</f>
        <v/>
      </c>
      <c r="B935" s="19" t="n"/>
      <c r="C935" s="4" t="n"/>
      <c r="D935" s="4" t="n"/>
      <c r="E935" s="4" t="n"/>
      <c r="F935" s="4">
        <f>IF($E935="","",IFERROR(VLOOKUP($E935,AKUN!$A$2:$B$200,2,FALSE),"Kode tidak ditemukan"))</f>
        <v/>
      </c>
      <c r="G935" s="4" t="n"/>
      <c r="H935" s="9" t="n"/>
      <c r="I935" s="9" t="n"/>
      <c r="J935" s="18">
        <f>IF($B935="","",MONTH($B935))</f>
        <v/>
      </c>
      <c r="K935" s="18">
        <f>IF($B935="","",YEAR($B935))</f>
        <v/>
      </c>
    </row>
    <row r="936">
      <c r="A936" s="13">
        <f>IF($B936="","",ROW()-9)</f>
        <v/>
      </c>
      <c r="B936" s="14" t="n"/>
      <c r="C936" s="15" t="n"/>
      <c r="D936" s="15" t="n"/>
      <c r="E936" s="15" t="n"/>
      <c r="F936" s="15">
        <f>IF($E936="","",IFERROR(VLOOKUP($E936,AKUN!$A$2:$B$200,2,FALSE),"Kode tidak ditemukan"))</f>
        <v/>
      </c>
      <c r="G936" s="15" t="n"/>
      <c r="H936" s="17" t="n"/>
      <c r="I936" s="17" t="n"/>
      <c r="J936" s="13">
        <f>IF($B936="","",MONTH($B936))</f>
        <v/>
      </c>
      <c r="K936" s="13">
        <f>IF($B936="","",YEAR($B936))</f>
        <v/>
      </c>
    </row>
    <row r="937">
      <c r="A937" s="18">
        <f>IF($B937="","",ROW()-9)</f>
        <v/>
      </c>
      <c r="B937" s="19" t="n"/>
      <c r="C937" s="4" t="n"/>
      <c r="D937" s="4" t="n"/>
      <c r="E937" s="4" t="n"/>
      <c r="F937" s="4">
        <f>IF($E937="","",IFERROR(VLOOKUP($E937,AKUN!$A$2:$B$200,2,FALSE),"Kode tidak ditemukan"))</f>
        <v/>
      </c>
      <c r="G937" s="4" t="n"/>
      <c r="H937" s="9" t="n"/>
      <c r="I937" s="9" t="n"/>
      <c r="J937" s="18">
        <f>IF($B937="","",MONTH($B937))</f>
        <v/>
      </c>
      <c r="K937" s="18">
        <f>IF($B937="","",YEAR($B937))</f>
        <v/>
      </c>
    </row>
    <row r="938">
      <c r="A938" s="13">
        <f>IF($B938="","",ROW()-9)</f>
        <v/>
      </c>
      <c r="B938" s="14" t="n"/>
      <c r="C938" s="15" t="n"/>
      <c r="D938" s="15" t="n"/>
      <c r="E938" s="15" t="n"/>
      <c r="F938" s="15">
        <f>IF($E938="","",IFERROR(VLOOKUP($E938,AKUN!$A$2:$B$200,2,FALSE),"Kode tidak ditemukan"))</f>
        <v/>
      </c>
      <c r="G938" s="15" t="n"/>
      <c r="H938" s="17" t="n"/>
      <c r="I938" s="17" t="n"/>
      <c r="J938" s="13">
        <f>IF($B938="","",MONTH($B938))</f>
        <v/>
      </c>
      <c r="K938" s="13">
        <f>IF($B938="","",YEAR($B938))</f>
        <v/>
      </c>
    </row>
    <row r="939">
      <c r="A939" s="18">
        <f>IF($B939="","",ROW()-9)</f>
        <v/>
      </c>
      <c r="B939" s="19" t="n"/>
      <c r="C939" s="4" t="n"/>
      <c r="D939" s="4" t="n"/>
      <c r="E939" s="4" t="n"/>
      <c r="F939" s="4">
        <f>IF($E939="","",IFERROR(VLOOKUP($E939,AKUN!$A$2:$B$200,2,FALSE),"Kode tidak ditemukan"))</f>
        <v/>
      </c>
      <c r="G939" s="4" t="n"/>
      <c r="H939" s="9" t="n"/>
      <c r="I939" s="9" t="n"/>
      <c r="J939" s="18">
        <f>IF($B939="","",MONTH($B939))</f>
        <v/>
      </c>
      <c r="K939" s="18">
        <f>IF($B939="","",YEAR($B939))</f>
        <v/>
      </c>
    </row>
    <row r="940">
      <c r="A940" s="13">
        <f>IF($B940="","",ROW()-9)</f>
        <v/>
      </c>
      <c r="B940" s="14" t="n"/>
      <c r="C940" s="15" t="n"/>
      <c r="D940" s="15" t="n"/>
      <c r="E940" s="15" t="n"/>
      <c r="F940" s="15">
        <f>IF($E940="","",IFERROR(VLOOKUP($E940,AKUN!$A$2:$B$200,2,FALSE),"Kode tidak ditemukan"))</f>
        <v/>
      </c>
      <c r="G940" s="15" t="n"/>
      <c r="H940" s="17" t="n"/>
      <c r="I940" s="17" t="n"/>
      <c r="J940" s="13">
        <f>IF($B940="","",MONTH($B940))</f>
        <v/>
      </c>
      <c r="K940" s="13">
        <f>IF($B940="","",YEAR($B940))</f>
        <v/>
      </c>
    </row>
    <row r="941">
      <c r="A941" s="18">
        <f>IF($B941="","",ROW()-9)</f>
        <v/>
      </c>
      <c r="B941" s="19" t="n"/>
      <c r="C941" s="4" t="n"/>
      <c r="D941" s="4" t="n"/>
      <c r="E941" s="4" t="n"/>
      <c r="F941" s="4">
        <f>IF($E941="","",IFERROR(VLOOKUP($E941,AKUN!$A$2:$B$200,2,FALSE),"Kode tidak ditemukan"))</f>
        <v/>
      </c>
      <c r="G941" s="4" t="n"/>
      <c r="H941" s="9" t="n"/>
      <c r="I941" s="9" t="n"/>
      <c r="J941" s="18">
        <f>IF($B941="","",MONTH($B941))</f>
        <v/>
      </c>
      <c r="K941" s="18">
        <f>IF($B941="","",YEAR($B941))</f>
        <v/>
      </c>
    </row>
    <row r="942">
      <c r="A942" s="13">
        <f>IF($B942="","",ROW()-9)</f>
        <v/>
      </c>
      <c r="B942" s="14" t="n"/>
      <c r="C942" s="15" t="n"/>
      <c r="D942" s="15" t="n"/>
      <c r="E942" s="15" t="n"/>
      <c r="F942" s="15">
        <f>IF($E942="","",IFERROR(VLOOKUP($E942,AKUN!$A$2:$B$200,2,FALSE),"Kode tidak ditemukan"))</f>
        <v/>
      </c>
      <c r="G942" s="15" t="n"/>
      <c r="H942" s="17" t="n"/>
      <c r="I942" s="17" t="n"/>
      <c r="J942" s="13">
        <f>IF($B942="","",MONTH($B942))</f>
        <v/>
      </c>
      <c r="K942" s="13">
        <f>IF($B942="","",YEAR($B942))</f>
        <v/>
      </c>
    </row>
    <row r="943">
      <c r="A943" s="18">
        <f>IF($B943="","",ROW()-9)</f>
        <v/>
      </c>
      <c r="B943" s="19" t="n"/>
      <c r="C943" s="4" t="n"/>
      <c r="D943" s="4" t="n"/>
      <c r="E943" s="4" t="n"/>
      <c r="F943" s="4">
        <f>IF($E943="","",IFERROR(VLOOKUP($E943,AKUN!$A$2:$B$200,2,FALSE),"Kode tidak ditemukan"))</f>
        <v/>
      </c>
      <c r="G943" s="4" t="n"/>
      <c r="H943" s="9" t="n"/>
      <c r="I943" s="9" t="n"/>
      <c r="J943" s="18">
        <f>IF($B943="","",MONTH($B943))</f>
        <v/>
      </c>
      <c r="K943" s="18">
        <f>IF($B943="","",YEAR($B943))</f>
        <v/>
      </c>
    </row>
    <row r="944">
      <c r="A944" s="13">
        <f>IF($B944="","",ROW()-9)</f>
        <v/>
      </c>
      <c r="B944" s="14" t="n"/>
      <c r="C944" s="15" t="n"/>
      <c r="D944" s="15" t="n"/>
      <c r="E944" s="15" t="n"/>
      <c r="F944" s="15">
        <f>IF($E944="","",IFERROR(VLOOKUP($E944,AKUN!$A$2:$B$200,2,FALSE),"Kode tidak ditemukan"))</f>
        <v/>
      </c>
      <c r="G944" s="15" t="n"/>
      <c r="H944" s="17" t="n"/>
      <c r="I944" s="17" t="n"/>
      <c r="J944" s="13">
        <f>IF($B944="","",MONTH($B944))</f>
        <v/>
      </c>
      <c r="K944" s="13">
        <f>IF($B944="","",YEAR($B944))</f>
        <v/>
      </c>
    </row>
    <row r="945">
      <c r="A945" s="18">
        <f>IF($B945="","",ROW()-9)</f>
        <v/>
      </c>
      <c r="B945" s="19" t="n"/>
      <c r="C945" s="4" t="n"/>
      <c r="D945" s="4" t="n"/>
      <c r="E945" s="4" t="n"/>
      <c r="F945" s="4">
        <f>IF($E945="","",IFERROR(VLOOKUP($E945,AKUN!$A$2:$B$200,2,FALSE),"Kode tidak ditemukan"))</f>
        <v/>
      </c>
      <c r="G945" s="4" t="n"/>
      <c r="H945" s="9" t="n"/>
      <c r="I945" s="9" t="n"/>
      <c r="J945" s="18">
        <f>IF($B945="","",MONTH($B945))</f>
        <v/>
      </c>
      <c r="K945" s="18">
        <f>IF($B945="","",YEAR($B945))</f>
        <v/>
      </c>
    </row>
    <row r="946">
      <c r="A946" s="13">
        <f>IF($B946="","",ROW()-9)</f>
        <v/>
      </c>
      <c r="B946" s="14" t="n"/>
      <c r="C946" s="15" t="n"/>
      <c r="D946" s="15" t="n"/>
      <c r="E946" s="15" t="n"/>
      <c r="F946" s="15">
        <f>IF($E946="","",IFERROR(VLOOKUP($E946,AKUN!$A$2:$B$200,2,FALSE),"Kode tidak ditemukan"))</f>
        <v/>
      </c>
      <c r="G946" s="15" t="n"/>
      <c r="H946" s="17" t="n"/>
      <c r="I946" s="17" t="n"/>
      <c r="J946" s="13">
        <f>IF($B946="","",MONTH($B946))</f>
        <v/>
      </c>
      <c r="K946" s="13">
        <f>IF($B946="","",YEAR($B946))</f>
        <v/>
      </c>
    </row>
    <row r="947">
      <c r="A947" s="18">
        <f>IF($B947="","",ROW()-9)</f>
        <v/>
      </c>
      <c r="B947" s="19" t="n"/>
      <c r="C947" s="4" t="n"/>
      <c r="D947" s="4" t="n"/>
      <c r="E947" s="4" t="n"/>
      <c r="F947" s="4">
        <f>IF($E947="","",IFERROR(VLOOKUP($E947,AKUN!$A$2:$B$200,2,FALSE),"Kode tidak ditemukan"))</f>
        <v/>
      </c>
      <c r="G947" s="4" t="n"/>
      <c r="H947" s="9" t="n"/>
      <c r="I947" s="9" t="n"/>
      <c r="J947" s="18">
        <f>IF($B947="","",MONTH($B947))</f>
        <v/>
      </c>
      <c r="K947" s="18">
        <f>IF($B947="","",YEAR($B947))</f>
        <v/>
      </c>
    </row>
    <row r="948">
      <c r="A948" s="13">
        <f>IF($B948="","",ROW()-9)</f>
        <v/>
      </c>
      <c r="B948" s="14" t="n"/>
      <c r="C948" s="15" t="n"/>
      <c r="D948" s="15" t="n"/>
      <c r="E948" s="15" t="n"/>
      <c r="F948" s="15">
        <f>IF($E948="","",IFERROR(VLOOKUP($E948,AKUN!$A$2:$B$200,2,FALSE),"Kode tidak ditemukan"))</f>
        <v/>
      </c>
      <c r="G948" s="15" t="n"/>
      <c r="H948" s="17" t="n"/>
      <c r="I948" s="17" t="n"/>
      <c r="J948" s="13">
        <f>IF($B948="","",MONTH($B948))</f>
        <v/>
      </c>
      <c r="K948" s="13">
        <f>IF($B948="","",YEAR($B948))</f>
        <v/>
      </c>
    </row>
    <row r="949">
      <c r="A949" s="18">
        <f>IF($B949="","",ROW()-9)</f>
        <v/>
      </c>
      <c r="B949" s="19" t="n"/>
      <c r="C949" s="4" t="n"/>
      <c r="D949" s="4" t="n"/>
      <c r="E949" s="4" t="n"/>
      <c r="F949" s="4">
        <f>IF($E949="","",IFERROR(VLOOKUP($E949,AKUN!$A$2:$B$200,2,FALSE),"Kode tidak ditemukan"))</f>
        <v/>
      </c>
      <c r="G949" s="4" t="n"/>
      <c r="H949" s="9" t="n"/>
      <c r="I949" s="9" t="n"/>
      <c r="J949" s="18">
        <f>IF($B949="","",MONTH($B949))</f>
        <v/>
      </c>
      <c r="K949" s="18">
        <f>IF($B949="","",YEAR($B949))</f>
        <v/>
      </c>
    </row>
    <row r="950">
      <c r="A950" s="13">
        <f>IF($B950="","",ROW()-9)</f>
        <v/>
      </c>
      <c r="B950" s="14" t="n"/>
      <c r="C950" s="15" t="n"/>
      <c r="D950" s="15" t="n"/>
      <c r="E950" s="15" t="n"/>
      <c r="F950" s="15">
        <f>IF($E950="","",IFERROR(VLOOKUP($E950,AKUN!$A$2:$B$200,2,FALSE),"Kode tidak ditemukan"))</f>
        <v/>
      </c>
      <c r="G950" s="15" t="n"/>
      <c r="H950" s="17" t="n"/>
      <c r="I950" s="17" t="n"/>
      <c r="J950" s="13">
        <f>IF($B950="","",MONTH($B950))</f>
        <v/>
      </c>
      <c r="K950" s="13">
        <f>IF($B950="","",YEAR($B950))</f>
        <v/>
      </c>
    </row>
    <row r="951">
      <c r="A951" s="18">
        <f>IF($B951="","",ROW()-9)</f>
        <v/>
      </c>
      <c r="B951" s="19" t="n"/>
      <c r="C951" s="4" t="n"/>
      <c r="D951" s="4" t="n"/>
      <c r="E951" s="4" t="n"/>
      <c r="F951" s="4">
        <f>IF($E951="","",IFERROR(VLOOKUP($E951,AKUN!$A$2:$B$200,2,FALSE),"Kode tidak ditemukan"))</f>
        <v/>
      </c>
      <c r="G951" s="4" t="n"/>
      <c r="H951" s="9" t="n"/>
      <c r="I951" s="9" t="n"/>
      <c r="J951" s="18">
        <f>IF($B951="","",MONTH($B951))</f>
        <v/>
      </c>
      <c r="K951" s="18">
        <f>IF($B951="","",YEAR($B951))</f>
        <v/>
      </c>
    </row>
    <row r="952">
      <c r="A952" s="13">
        <f>IF($B952="","",ROW()-9)</f>
        <v/>
      </c>
      <c r="B952" s="14" t="n"/>
      <c r="C952" s="15" t="n"/>
      <c r="D952" s="15" t="n"/>
      <c r="E952" s="15" t="n"/>
      <c r="F952" s="15">
        <f>IF($E952="","",IFERROR(VLOOKUP($E952,AKUN!$A$2:$B$200,2,FALSE),"Kode tidak ditemukan"))</f>
        <v/>
      </c>
      <c r="G952" s="15" t="n"/>
      <c r="H952" s="17" t="n"/>
      <c r="I952" s="17" t="n"/>
      <c r="J952" s="13">
        <f>IF($B952="","",MONTH($B952))</f>
        <v/>
      </c>
      <c r="K952" s="13">
        <f>IF($B952="","",YEAR($B952))</f>
        <v/>
      </c>
    </row>
    <row r="953">
      <c r="A953" s="18">
        <f>IF($B953="","",ROW()-9)</f>
        <v/>
      </c>
      <c r="B953" s="19" t="n"/>
      <c r="C953" s="4" t="n"/>
      <c r="D953" s="4" t="n"/>
      <c r="E953" s="4" t="n"/>
      <c r="F953" s="4">
        <f>IF($E953="","",IFERROR(VLOOKUP($E953,AKUN!$A$2:$B$200,2,FALSE),"Kode tidak ditemukan"))</f>
        <v/>
      </c>
      <c r="G953" s="4" t="n"/>
      <c r="H953" s="9" t="n"/>
      <c r="I953" s="9" t="n"/>
      <c r="J953" s="18">
        <f>IF($B953="","",MONTH($B953))</f>
        <v/>
      </c>
      <c r="K953" s="18">
        <f>IF($B953="","",YEAR($B953))</f>
        <v/>
      </c>
    </row>
    <row r="954">
      <c r="A954" s="13">
        <f>IF($B954="","",ROW()-9)</f>
        <v/>
      </c>
      <c r="B954" s="14" t="n"/>
      <c r="C954" s="15" t="n"/>
      <c r="D954" s="15" t="n"/>
      <c r="E954" s="15" t="n"/>
      <c r="F954" s="15">
        <f>IF($E954="","",IFERROR(VLOOKUP($E954,AKUN!$A$2:$B$200,2,FALSE),"Kode tidak ditemukan"))</f>
        <v/>
      </c>
      <c r="G954" s="15" t="n"/>
      <c r="H954" s="17" t="n"/>
      <c r="I954" s="17" t="n"/>
      <c r="J954" s="13">
        <f>IF($B954="","",MONTH($B954))</f>
        <v/>
      </c>
      <c r="K954" s="13">
        <f>IF($B954="","",YEAR($B954))</f>
        <v/>
      </c>
    </row>
    <row r="955">
      <c r="A955" s="18">
        <f>IF($B955="","",ROW()-9)</f>
        <v/>
      </c>
      <c r="B955" s="19" t="n"/>
      <c r="C955" s="4" t="n"/>
      <c r="D955" s="4" t="n"/>
      <c r="E955" s="4" t="n"/>
      <c r="F955" s="4">
        <f>IF($E955="","",IFERROR(VLOOKUP($E955,AKUN!$A$2:$B$200,2,FALSE),"Kode tidak ditemukan"))</f>
        <v/>
      </c>
      <c r="G955" s="4" t="n"/>
      <c r="H955" s="9" t="n"/>
      <c r="I955" s="9" t="n"/>
      <c r="J955" s="18">
        <f>IF($B955="","",MONTH($B955))</f>
        <v/>
      </c>
      <c r="K955" s="18">
        <f>IF($B955="","",YEAR($B955))</f>
        <v/>
      </c>
    </row>
    <row r="956">
      <c r="A956" s="13">
        <f>IF($B956="","",ROW()-9)</f>
        <v/>
      </c>
      <c r="B956" s="14" t="n"/>
      <c r="C956" s="15" t="n"/>
      <c r="D956" s="15" t="n"/>
      <c r="E956" s="15" t="n"/>
      <c r="F956" s="15">
        <f>IF($E956="","",IFERROR(VLOOKUP($E956,AKUN!$A$2:$B$200,2,FALSE),"Kode tidak ditemukan"))</f>
        <v/>
      </c>
      <c r="G956" s="15" t="n"/>
      <c r="H956" s="17" t="n"/>
      <c r="I956" s="17" t="n"/>
      <c r="J956" s="13">
        <f>IF($B956="","",MONTH($B956))</f>
        <v/>
      </c>
      <c r="K956" s="13">
        <f>IF($B956="","",YEAR($B956))</f>
        <v/>
      </c>
    </row>
    <row r="957">
      <c r="A957" s="18">
        <f>IF($B957="","",ROW()-9)</f>
        <v/>
      </c>
      <c r="B957" s="19" t="n"/>
      <c r="C957" s="4" t="n"/>
      <c r="D957" s="4" t="n"/>
      <c r="E957" s="4" t="n"/>
      <c r="F957" s="4">
        <f>IF($E957="","",IFERROR(VLOOKUP($E957,AKUN!$A$2:$B$200,2,FALSE),"Kode tidak ditemukan"))</f>
        <v/>
      </c>
      <c r="G957" s="4" t="n"/>
      <c r="H957" s="9" t="n"/>
      <c r="I957" s="9" t="n"/>
      <c r="J957" s="18">
        <f>IF($B957="","",MONTH($B957))</f>
        <v/>
      </c>
      <c r="K957" s="18">
        <f>IF($B957="","",YEAR($B957))</f>
        <v/>
      </c>
    </row>
    <row r="958">
      <c r="A958" s="13">
        <f>IF($B958="","",ROW()-9)</f>
        <v/>
      </c>
      <c r="B958" s="14" t="n"/>
      <c r="C958" s="15" t="n"/>
      <c r="D958" s="15" t="n"/>
      <c r="E958" s="15" t="n"/>
      <c r="F958" s="15">
        <f>IF($E958="","",IFERROR(VLOOKUP($E958,AKUN!$A$2:$B$200,2,FALSE),"Kode tidak ditemukan"))</f>
        <v/>
      </c>
      <c r="G958" s="15" t="n"/>
      <c r="H958" s="17" t="n"/>
      <c r="I958" s="17" t="n"/>
      <c r="J958" s="13">
        <f>IF($B958="","",MONTH($B958))</f>
        <v/>
      </c>
      <c r="K958" s="13">
        <f>IF($B958="","",YEAR($B958))</f>
        <v/>
      </c>
    </row>
    <row r="959">
      <c r="A959" s="18">
        <f>IF($B959="","",ROW()-9)</f>
        <v/>
      </c>
      <c r="B959" s="19" t="n"/>
      <c r="C959" s="4" t="n"/>
      <c r="D959" s="4" t="n"/>
      <c r="E959" s="4" t="n"/>
      <c r="F959" s="4">
        <f>IF($E959="","",IFERROR(VLOOKUP($E959,AKUN!$A$2:$B$200,2,FALSE),"Kode tidak ditemukan"))</f>
        <v/>
      </c>
      <c r="G959" s="4" t="n"/>
      <c r="H959" s="9" t="n"/>
      <c r="I959" s="9" t="n"/>
      <c r="J959" s="18">
        <f>IF($B959="","",MONTH($B959))</f>
        <v/>
      </c>
      <c r="K959" s="18">
        <f>IF($B959="","",YEAR($B959))</f>
        <v/>
      </c>
    </row>
    <row r="960">
      <c r="A960" s="13">
        <f>IF($B960="","",ROW()-9)</f>
        <v/>
      </c>
      <c r="B960" s="14" t="n"/>
      <c r="C960" s="15" t="n"/>
      <c r="D960" s="15" t="n"/>
      <c r="E960" s="15" t="n"/>
      <c r="F960" s="15">
        <f>IF($E960="","",IFERROR(VLOOKUP($E960,AKUN!$A$2:$B$200,2,FALSE),"Kode tidak ditemukan"))</f>
        <v/>
      </c>
      <c r="G960" s="15" t="n"/>
      <c r="H960" s="17" t="n"/>
      <c r="I960" s="17" t="n"/>
      <c r="J960" s="13">
        <f>IF($B960="","",MONTH($B960))</f>
        <v/>
      </c>
      <c r="K960" s="13">
        <f>IF($B960="","",YEAR($B960))</f>
        <v/>
      </c>
    </row>
    <row r="961">
      <c r="A961" s="18">
        <f>IF($B961="","",ROW()-9)</f>
        <v/>
      </c>
      <c r="B961" s="19" t="n"/>
      <c r="C961" s="4" t="n"/>
      <c r="D961" s="4" t="n"/>
      <c r="E961" s="4" t="n"/>
      <c r="F961" s="4">
        <f>IF($E961="","",IFERROR(VLOOKUP($E961,AKUN!$A$2:$B$200,2,FALSE),"Kode tidak ditemukan"))</f>
        <v/>
      </c>
      <c r="G961" s="4" t="n"/>
      <c r="H961" s="9" t="n"/>
      <c r="I961" s="9" t="n"/>
      <c r="J961" s="18">
        <f>IF($B961="","",MONTH($B961))</f>
        <v/>
      </c>
      <c r="K961" s="18">
        <f>IF($B961="","",YEAR($B961))</f>
        <v/>
      </c>
    </row>
    <row r="962">
      <c r="A962" s="13">
        <f>IF($B962="","",ROW()-9)</f>
        <v/>
      </c>
      <c r="B962" s="14" t="n"/>
      <c r="C962" s="15" t="n"/>
      <c r="D962" s="15" t="n"/>
      <c r="E962" s="15" t="n"/>
      <c r="F962" s="15">
        <f>IF($E962="","",IFERROR(VLOOKUP($E962,AKUN!$A$2:$B$200,2,FALSE),"Kode tidak ditemukan"))</f>
        <v/>
      </c>
      <c r="G962" s="15" t="n"/>
      <c r="H962" s="17" t="n"/>
      <c r="I962" s="17" t="n"/>
      <c r="J962" s="13">
        <f>IF($B962="","",MONTH($B962))</f>
        <v/>
      </c>
      <c r="K962" s="13">
        <f>IF($B962="","",YEAR($B962))</f>
        <v/>
      </c>
    </row>
    <row r="963">
      <c r="A963" s="18">
        <f>IF($B963="","",ROW()-9)</f>
        <v/>
      </c>
      <c r="B963" s="19" t="n"/>
      <c r="C963" s="4" t="n"/>
      <c r="D963" s="4" t="n"/>
      <c r="E963" s="4" t="n"/>
      <c r="F963" s="4">
        <f>IF($E963="","",IFERROR(VLOOKUP($E963,AKUN!$A$2:$B$200,2,FALSE),"Kode tidak ditemukan"))</f>
        <v/>
      </c>
      <c r="G963" s="4" t="n"/>
      <c r="H963" s="9" t="n"/>
      <c r="I963" s="9" t="n"/>
      <c r="J963" s="18">
        <f>IF($B963="","",MONTH($B963))</f>
        <v/>
      </c>
      <c r="K963" s="18">
        <f>IF($B963="","",YEAR($B963))</f>
        <v/>
      </c>
    </row>
    <row r="964">
      <c r="A964" s="13">
        <f>IF($B964="","",ROW()-9)</f>
        <v/>
      </c>
      <c r="B964" s="14" t="n"/>
      <c r="C964" s="15" t="n"/>
      <c r="D964" s="15" t="n"/>
      <c r="E964" s="15" t="n"/>
      <c r="F964" s="15">
        <f>IF($E964="","",IFERROR(VLOOKUP($E964,AKUN!$A$2:$B$200,2,FALSE),"Kode tidak ditemukan"))</f>
        <v/>
      </c>
      <c r="G964" s="15" t="n"/>
      <c r="H964" s="17" t="n"/>
      <c r="I964" s="17" t="n"/>
      <c r="J964" s="13">
        <f>IF($B964="","",MONTH($B964))</f>
        <v/>
      </c>
      <c r="K964" s="13">
        <f>IF($B964="","",YEAR($B964))</f>
        <v/>
      </c>
    </row>
    <row r="965">
      <c r="A965" s="18">
        <f>IF($B965="","",ROW()-9)</f>
        <v/>
      </c>
      <c r="B965" s="19" t="n"/>
      <c r="C965" s="4" t="n"/>
      <c r="D965" s="4" t="n"/>
      <c r="E965" s="4" t="n"/>
      <c r="F965" s="4">
        <f>IF($E965="","",IFERROR(VLOOKUP($E965,AKUN!$A$2:$B$200,2,FALSE),"Kode tidak ditemukan"))</f>
        <v/>
      </c>
      <c r="G965" s="4" t="n"/>
      <c r="H965" s="9" t="n"/>
      <c r="I965" s="9" t="n"/>
      <c r="J965" s="18">
        <f>IF($B965="","",MONTH($B965))</f>
        <v/>
      </c>
      <c r="K965" s="18">
        <f>IF($B965="","",YEAR($B965))</f>
        <v/>
      </c>
    </row>
    <row r="966">
      <c r="A966" s="13">
        <f>IF($B966="","",ROW()-9)</f>
        <v/>
      </c>
      <c r="B966" s="14" t="n"/>
      <c r="C966" s="15" t="n"/>
      <c r="D966" s="15" t="n"/>
      <c r="E966" s="15" t="n"/>
      <c r="F966" s="15">
        <f>IF($E966="","",IFERROR(VLOOKUP($E966,AKUN!$A$2:$B$200,2,FALSE),"Kode tidak ditemukan"))</f>
        <v/>
      </c>
      <c r="G966" s="15" t="n"/>
      <c r="H966" s="17" t="n"/>
      <c r="I966" s="17" t="n"/>
      <c r="J966" s="13">
        <f>IF($B966="","",MONTH($B966))</f>
        <v/>
      </c>
      <c r="K966" s="13">
        <f>IF($B966="","",YEAR($B966))</f>
        <v/>
      </c>
    </row>
    <row r="967">
      <c r="A967" s="18">
        <f>IF($B967="","",ROW()-9)</f>
        <v/>
      </c>
      <c r="B967" s="19" t="n"/>
      <c r="C967" s="4" t="n"/>
      <c r="D967" s="4" t="n"/>
      <c r="E967" s="4" t="n"/>
      <c r="F967" s="4">
        <f>IF($E967="","",IFERROR(VLOOKUP($E967,AKUN!$A$2:$B$200,2,FALSE),"Kode tidak ditemukan"))</f>
        <v/>
      </c>
      <c r="G967" s="4" t="n"/>
      <c r="H967" s="9" t="n"/>
      <c r="I967" s="9" t="n"/>
      <c r="J967" s="18">
        <f>IF($B967="","",MONTH($B967))</f>
        <v/>
      </c>
      <c r="K967" s="18">
        <f>IF($B967="","",YEAR($B967))</f>
        <v/>
      </c>
    </row>
    <row r="968">
      <c r="A968" s="13">
        <f>IF($B968="","",ROW()-9)</f>
        <v/>
      </c>
      <c r="B968" s="14" t="n"/>
      <c r="C968" s="15" t="n"/>
      <c r="D968" s="15" t="n"/>
      <c r="E968" s="15" t="n"/>
      <c r="F968" s="15">
        <f>IF($E968="","",IFERROR(VLOOKUP($E968,AKUN!$A$2:$B$200,2,FALSE),"Kode tidak ditemukan"))</f>
        <v/>
      </c>
      <c r="G968" s="15" t="n"/>
      <c r="H968" s="17" t="n"/>
      <c r="I968" s="17" t="n"/>
      <c r="J968" s="13">
        <f>IF($B968="","",MONTH($B968))</f>
        <v/>
      </c>
      <c r="K968" s="13">
        <f>IF($B968="","",YEAR($B968))</f>
        <v/>
      </c>
    </row>
    <row r="969">
      <c r="A969" s="18">
        <f>IF($B969="","",ROW()-9)</f>
        <v/>
      </c>
      <c r="B969" s="19" t="n"/>
      <c r="C969" s="4" t="n"/>
      <c r="D969" s="4" t="n"/>
      <c r="E969" s="4" t="n"/>
      <c r="F969" s="4">
        <f>IF($E969="","",IFERROR(VLOOKUP($E969,AKUN!$A$2:$B$200,2,FALSE),"Kode tidak ditemukan"))</f>
        <v/>
      </c>
      <c r="G969" s="4" t="n"/>
      <c r="H969" s="9" t="n"/>
      <c r="I969" s="9" t="n"/>
      <c r="J969" s="18">
        <f>IF($B969="","",MONTH($B969))</f>
        <v/>
      </c>
      <c r="K969" s="18">
        <f>IF($B969="","",YEAR($B969))</f>
        <v/>
      </c>
    </row>
    <row r="970">
      <c r="A970" s="13">
        <f>IF($B970="","",ROW()-9)</f>
        <v/>
      </c>
      <c r="B970" s="14" t="n"/>
      <c r="C970" s="15" t="n"/>
      <c r="D970" s="15" t="n"/>
      <c r="E970" s="15" t="n"/>
      <c r="F970" s="15">
        <f>IF($E970="","",IFERROR(VLOOKUP($E970,AKUN!$A$2:$B$200,2,FALSE),"Kode tidak ditemukan"))</f>
        <v/>
      </c>
      <c r="G970" s="15" t="n"/>
      <c r="H970" s="17" t="n"/>
      <c r="I970" s="17" t="n"/>
      <c r="J970" s="13">
        <f>IF($B970="","",MONTH($B970))</f>
        <v/>
      </c>
      <c r="K970" s="13">
        <f>IF($B970="","",YEAR($B970))</f>
        <v/>
      </c>
    </row>
    <row r="971">
      <c r="A971" s="18">
        <f>IF($B971="","",ROW()-9)</f>
        <v/>
      </c>
      <c r="B971" s="19" t="n"/>
      <c r="C971" s="4" t="n"/>
      <c r="D971" s="4" t="n"/>
      <c r="E971" s="4" t="n"/>
      <c r="F971" s="4">
        <f>IF($E971="","",IFERROR(VLOOKUP($E971,AKUN!$A$2:$B$200,2,FALSE),"Kode tidak ditemukan"))</f>
        <v/>
      </c>
      <c r="G971" s="4" t="n"/>
      <c r="H971" s="9" t="n"/>
      <c r="I971" s="9" t="n"/>
      <c r="J971" s="18">
        <f>IF($B971="","",MONTH($B971))</f>
        <v/>
      </c>
      <c r="K971" s="18">
        <f>IF($B971="","",YEAR($B971))</f>
        <v/>
      </c>
    </row>
    <row r="972">
      <c r="A972" s="13">
        <f>IF($B972="","",ROW()-9)</f>
        <v/>
      </c>
      <c r="B972" s="14" t="n"/>
      <c r="C972" s="15" t="n"/>
      <c r="D972" s="15" t="n"/>
      <c r="E972" s="15" t="n"/>
      <c r="F972" s="15">
        <f>IF($E972="","",IFERROR(VLOOKUP($E972,AKUN!$A$2:$B$200,2,FALSE),"Kode tidak ditemukan"))</f>
        <v/>
      </c>
      <c r="G972" s="15" t="n"/>
      <c r="H972" s="17" t="n"/>
      <c r="I972" s="17" t="n"/>
      <c r="J972" s="13">
        <f>IF($B972="","",MONTH($B972))</f>
        <v/>
      </c>
      <c r="K972" s="13">
        <f>IF($B972="","",YEAR($B972))</f>
        <v/>
      </c>
    </row>
    <row r="973">
      <c r="A973" s="18">
        <f>IF($B973="","",ROW()-9)</f>
        <v/>
      </c>
      <c r="B973" s="19" t="n"/>
      <c r="C973" s="4" t="n"/>
      <c r="D973" s="4" t="n"/>
      <c r="E973" s="4" t="n"/>
      <c r="F973" s="4">
        <f>IF($E973="","",IFERROR(VLOOKUP($E973,AKUN!$A$2:$B$200,2,FALSE),"Kode tidak ditemukan"))</f>
        <v/>
      </c>
      <c r="G973" s="4" t="n"/>
      <c r="H973" s="9" t="n"/>
      <c r="I973" s="9" t="n"/>
      <c r="J973" s="18">
        <f>IF($B973="","",MONTH($B973))</f>
        <v/>
      </c>
      <c r="K973" s="18">
        <f>IF($B973="","",YEAR($B973))</f>
        <v/>
      </c>
    </row>
    <row r="974">
      <c r="A974" s="13">
        <f>IF($B974="","",ROW()-9)</f>
        <v/>
      </c>
      <c r="B974" s="14" t="n"/>
      <c r="C974" s="15" t="n"/>
      <c r="D974" s="15" t="n"/>
      <c r="E974" s="15" t="n"/>
      <c r="F974" s="15">
        <f>IF($E974="","",IFERROR(VLOOKUP($E974,AKUN!$A$2:$B$200,2,FALSE),"Kode tidak ditemukan"))</f>
        <v/>
      </c>
      <c r="G974" s="15" t="n"/>
      <c r="H974" s="17" t="n"/>
      <c r="I974" s="17" t="n"/>
      <c r="J974" s="13">
        <f>IF($B974="","",MONTH($B974))</f>
        <v/>
      </c>
      <c r="K974" s="13">
        <f>IF($B974="","",YEAR($B974))</f>
        <v/>
      </c>
    </row>
    <row r="975">
      <c r="A975" s="18">
        <f>IF($B975="","",ROW()-9)</f>
        <v/>
      </c>
      <c r="B975" s="19" t="n"/>
      <c r="C975" s="4" t="n"/>
      <c r="D975" s="4" t="n"/>
      <c r="E975" s="4" t="n"/>
      <c r="F975" s="4">
        <f>IF($E975="","",IFERROR(VLOOKUP($E975,AKUN!$A$2:$B$200,2,FALSE),"Kode tidak ditemukan"))</f>
        <v/>
      </c>
      <c r="G975" s="4" t="n"/>
      <c r="H975" s="9" t="n"/>
      <c r="I975" s="9" t="n"/>
      <c r="J975" s="18">
        <f>IF($B975="","",MONTH($B975))</f>
        <v/>
      </c>
      <c r="K975" s="18">
        <f>IF($B975="","",YEAR($B975))</f>
        <v/>
      </c>
    </row>
    <row r="976">
      <c r="A976" s="13">
        <f>IF($B976="","",ROW()-9)</f>
        <v/>
      </c>
      <c r="B976" s="14" t="n"/>
      <c r="C976" s="15" t="n"/>
      <c r="D976" s="15" t="n"/>
      <c r="E976" s="15" t="n"/>
      <c r="F976" s="15">
        <f>IF($E976="","",IFERROR(VLOOKUP($E976,AKUN!$A$2:$B$200,2,FALSE),"Kode tidak ditemukan"))</f>
        <v/>
      </c>
      <c r="G976" s="15" t="n"/>
      <c r="H976" s="17" t="n"/>
      <c r="I976" s="17" t="n"/>
      <c r="J976" s="13">
        <f>IF($B976="","",MONTH($B976))</f>
        <v/>
      </c>
      <c r="K976" s="13">
        <f>IF($B976="","",YEAR($B976))</f>
        <v/>
      </c>
    </row>
    <row r="977">
      <c r="A977" s="18">
        <f>IF($B977="","",ROW()-9)</f>
        <v/>
      </c>
      <c r="B977" s="19" t="n"/>
      <c r="C977" s="4" t="n"/>
      <c r="D977" s="4" t="n"/>
      <c r="E977" s="4" t="n"/>
      <c r="F977" s="4">
        <f>IF($E977="","",IFERROR(VLOOKUP($E977,AKUN!$A$2:$B$200,2,FALSE),"Kode tidak ditemukan"))</f>
        <v/>
      </c>
      <c r="G977" s="4" t="n"/>
      <c r="H977" s="9" t="n"/>
      <c r="I977" s="9" t="n"/>
      <c r="J977" s="18">
        <f>IF($B977="","",MONTH($B977))</f>
        <v/>
      </c>
      <c r="K977" s="18">
        <f>IF($B977="","",YEAR($B977))</f>
        <v/>
      </c>
    </row>
    <row r="978">
      <c r="A978" s="13">
        <f>IF($B978="","",ROW()-9)</f>
        <v/>
      </c>
      <c r="B978" s="14" t="n"/>
      <c r="C978" s="15" t="n"/>
      <c r="D978" s="15" t="n"/>
      <c r="E978" s="15" t="n"/>
      <c r="F978" s="15">
        <f>IF($E978="","",IFERROR(VLOOKUP($E978,AKUN!$A$2:$B$200,2,FALSE),"Kode tidak ditemukan"))</f>
        <v/>
      </c>
      <c r="G978" s="15" t="n"/>
      <c r="H978" s="17" t="n"/>
      <c r="I978" s="17" t="n"/>
      <c r="J978" s="13">
        <f>IF($B978="","",MONTH($B978))</f>
        <v/>
      </c>
      <c r="K978" s="13">
        <f>IF($B978="","",YEAR($B978))</f>
        <v/>
      </c>
    </row>
    <row r="979">
      <c r="A979" s="18">
        <f>IF($B979="","",ROW()-9)</f>
        <v/>
      </c>
      <c r="B979" s="19" t="n"/>
      <c r="C979" s="4" t="n"/>
      <c r="D979" s="4" t="n"/>
      <c r="E979" s="4" t="n"/>
      <c r="F979" s="4">
        <f>IF($E979="","",IFERROR(VLOOKUP($E979,AKUN!$A$2:$B$200,2,FALSE),"Kode tidak ditemukan"))</f>
        <v/>
      </c>
      <c r="G979" s="4" t="n"/>
      <c r="H979" s="9" t="n"/>
      <c r="I979" s="9" t="n"/>
      <c r="J979" s="18">
        <f>IF($B979="","",MONTH($B979))</f>
        <v/>
      </c>
      <c r="K979" s="18">
        <f>IF($B979="","",YEAR($B979))</f>
        <v/>
      </c>
    </row>
    <row r="980">
      <c r="A980" s="13">
        <f>IF($B980="","",ROW()-9)</f>
        <v/>
      </c>
      <c r="B980" s="14" t="n"/>
      <c r="C980" s="15" t="n"/>
      <c r="D980" s="15" t="n"/>
      <c r="E980" s="15" t="n"/>
      <c r="F980" s="15">
        <f>IF($E980="","",IFERROR(VLOOKUP($E980,AKUN!$A$2:$B$200,2,FALSE),"Kode tidak ditemukan"))</f>
        <v/>
      </c>
      <c r="G980" s="15" t="n"/>
      <c r="H980" s="17" t="n"/>
      <c r="I980" s="17" t="n"/>
      <c r="J980" s="13">
        <f>IF($B980="","",MONTH($B980))</f>
        <v/>
      </c>
      <c r="K980" s="13">
        <f>IF($B980="","",YEAR($B980))</f>
        <v/>
      </c>
    </row>
    <row r="981">
      <c r="A981" s="18">
        <f>IF($B981="","",ROW()-9)</f>
        <v/>
      </c>
      <c r="B981" s="19" t="n"/>
      <c r="C981" s="4" t="n"/>
      <c r="D981" s="4" t="n"/>
      <c r="E981" s="4" t="n"/>
      <c r="F981" s="4">
        <f>IF($E981="","",IFERROR(VLOOKUP($E981,AKUN!$A$2:$B$200,2,FALSE),"Kode tidak ditemukan"))</f>
        <v/>
      </c>
      <c r="G981" s="4" t="n"/>
      <c r="H981" s="9" t="n"/>
      <c r="I981" s="9" t="n"/>
      <c r="J981" s="18">
        <f>IF($B981="","",MONTH($B981))</f>
        <v/>
      </c>
      <c r="K981" s="18">
        <f>IF($B981="","",YEAR($B981))</f>
        <v/>
      </c>
    </row>
    <row r="982">
      <c r="A982" s="13">
        <f>IF($B982="","",ROW()-9)</f>
        <v/>
      </c>
      <c r="B982" s="14" t="n"/>
      <c r="C982" s="15" t="n"/>
      <c r="D982" s="15" t="n"/>
      <c r="E982" s="15" t="n"/>
      <c r="F982" s="15">
        <f>IF($E982="","",IFERROR(VLOOKUP($E982,AKUN!$A$2:$B$200,2,FALSE),"Kode tidak ditemukan"))</f>
        <v/>
      </c>
      <c r="G982" s="15" t="n"/>
      <c r="H982" s="17" t="n"/>
      <c r="I982" s="17" t="n"/>
      <c r="J982" s="13">
        <f>IF($B982="","",MONTH($B982))</f>
        <v/>
      </c>
      <c r="K982" s="13">
        <f>IF($B982="","",YEAR($B982))</f>
        <v/>
      </c>
    </row>
    <row r="983">
      <c r="A983" s="18">
        <f>IF($B983="","",ROW()-9)</f>
        <v/>
      </c>
      <c r="B983" s="19" t="n"/>
      <c r="C983" s="4" t="n"/>
      <c r="D983" s="4" t="n"/>
      <c r="E983" s="4" t="n"/>
      <c r="F983" s="4">
        <f>IF($E983="","",IFERROR(VLOOKUP($E983,AKUN!$A$2:$B$200,2,FALSE),"Kode tidak ditemukan"))</f>
        <v/>
      </c>
      <c r="G983" s="4" t="n"/>
      <c r="H983" s="9" t="n"/>
      <c r="I983" s="9" t="n"/>
      <c r="J983" s="18">
        <f>IF($B983="","",MONTH($B983))</f>
        <v/>
      </c>
      <c r="K983" s="18">
        <f>IF($B983="","",YEAR($B983))</f>
        <v/>
      </c>
    </row>
    <row r="984">
      <c r="A984" s="13">
        <f>IF($B984="","",ROW()-9)</f>
        <v/>
      </c>
      <c r="B984" s="14" t="n"/>
      <c r="C984" s="15" t="n"/>
      <c r="D984" s="15" t="n"/>
      <c r="E984" s="15" t="n"/>
      <c r="F984" s="15">
        <f>IF($E984="","",IFERROR(VLOOKUP($E984,AKUN!$A$2:$B$200,2,FALSE),"Kode tidak ditemukan"))</f>
        <v/>
      </c>
      <c r="G984" s="15" t="n"/>
      <c r="H984" s="17" t="n"/>
      <c r="I984" s="17" t="n"/>
      <c r="J984" s="13">
        <f>IF($B984="","",MONTH($B984))</f>
        <v/>
      </c>
      <c r="K984" s="13">
        <f>IF($B984="","",YEAR($B984))</f>
        <v/>
      </c>
    </row>
    <row r="985">
      <c r="A985" s="18">
        <f>IF($B985="","",ROW()-9)</f>
        <v/>
      </c>
      <c r="B985" s="19" t="n"/>
      <c r="C985" s="4" t="n"/>
      <c r="D985" s="4" t="n"/>
      <c r="E985" s="4" t="n"/>
      <c r="F985" s="4">
        <f>IF($E985="","",IFERROR(VLOOKUP($E985,AKUN!$A$2:$B$200,2,FALSE),"Kode tidak ditemukan"))</f>
        <v/>
      </c>
      <c r="G985" s="4" t="n"/>
      <c r="H985" s="9" t="n"/>
      <c r="I985" s="9" t="n"/>
      <c r="J985" s="18">
        <f>IF($B985="","",MONTH($B985))</f>
        <v/>
      </c>
      <c r="K985" s="18">
        <f>IF($B985="","",YEAR($B985))</f>
        <v/>
      </c>
    </row>
    <row r="986">
      <c r="A986" s="13">
        <f>IF($B986="","",ROW()-9)</f>
        <v/>
      </c>
      <c r="B986" s="14" t="n"/>
      <c r="C986" s="15" t="n"/>
      <c r="D986" s="15" t="n"/>
      <c r="E986" s="15" t="n"/>
      <c r="F986" s="15">
        <f>IF($E986="","",IFERROR(VLOOKUP($E986,AKUN!$A$2:$B$200,2,FALSE),"Kode tidak ditemukan"))</f>
        <v/>
      </c>
      <c r="G986" s="15" t="n"/>
      <c r="H986" s="17" t="n"/>
      <c r="I986" s="17" t="n"/>
      <c r="J986" s="13">
        <f>IF($B986="","",MONTH($B986))</f>
        <v/>
      </c>
      <c r="K986" s="13">
        <f>IF($B986="","",YEAR($B986))</f>
        <v/>
      </c>
    </row>
    <row r="987">
      <c r="A987" s="18">
        <f>IF($B987="","",ROW()-9)</f>
        <v/>
      </c>
      <c r="B987" s="19" t="n"/>
      <c r="C987" s="4" t="n"/>
      <c r="D987" s="4" t="n"/>
      <c r="E987" s="4" t="n"/>
      <c r="F987" s="4">
        <f>IF($E987="","",IFERROR(VLOOKUP($E987,AKUN!$A$2:$B$200,2,FALSE),"Kode tidak ditemukan"))</f>
        <v/>
      </c>
      <c r="G987" s="4" t="n"/>
      <c r="H987" s="9" t="n"/>
      <c r="I987" s="9" t="n"/>
      <c r="J987" s="18">
        <f>IF($B987="","",MONTH($B987))</f>
        <v/>
      </c>
      <c r="K987" s="18">
        <f>IF($B987="","",YEAR($B987))</f>
        <v/>
      </c>
    </row>
    <row r="988">
      <c r="A988" s="13">
        <f>IF($B988="","",ROW()-9)</f>
        <v/>
      </c>
      <c r="B988" s="14" t="n"/>
      <c r="C988" s="15" t="n"/>
      <c r="D988" s="15" t="n"/>
      <c r="E988" s="15" t="n"/>
      <c r="F988" s="15">
        <f>IF($E988="","",IFERROR(VLOOKUP($E988,AKUN!$A$2:$B$200,2,FALSE),"Kode tidak ditemukan"))</f>
        <v/>
      </c>
      <c r="G988" s="15" t="n"/>
      <c r="H988" s="17" t="n"/>
      <c r="I988" s="17" t="n"/>
      <c r="J988" s="13">
        <f>IF($B988="","",MONTH($B988))</f>
        <v/>
      </c>
      <c r="K988" s="13">
        <f>IF($B988="","",YEAR($B988))</f>
        <v/>
      </c>
    </row>
    <row r="989">
      <c r="A989" s="18">
        <f>IF($B989="","",ROW()-9)</f>
        <v/>
      </c>
      <c r="B989" s="19" t="n"/>
      <c r="C989" s="4" t="n"/>
      <c r="D989" s="4" t="n"/>
      <c r="E989" s="4" t="n"/>
      <c r="F989" s="4">
        <f>IF($E989="","",IFERROR(VLOOKUP($E989,AKUN!$A$2:$B$200,2,FALSE),"Kode tidak ditemukan"))</f>
        <v/>
      </c>
      <c r="G989" s="4" t="n"/>
      <c r="H989" s="9" t="n"/>
      <c r="I989" s="9" t="n"/>
      <c r="J989" s="18">
        <f>IF($B989="","",MONTH($B989))</f>
        <v/>
      </c>
      <c r="K989" s="18">
        <f>IF($B989="","",YEAR($B989))</f>
        <v/>
      </c>
    </row>
    <row r="990">
      <c r="A990" s="13">
        <f>IF($B990="","",ROW()-9)</f>
        <v/>
      </c>
      <c r="B990" s="14" t="n"/>
      <c r="C990" s="15" t="n"/>
      <c r="D990" s="15" t="n"/>
      <c r="E990" s="15" t="n"/>
      <c r="F990" s="15">
        <f>IF($E990="","",IFERROR(VLOOKUP($E990,AKUN!$A$2:$B$200,2,FALSE),"Kode tidak ditemukan"))</f>
        <v/>
      </c>
      <c r="G990" s="15" t="n"/>
      <c r="H990" s="17" t="n"/>
      <c r="I990" s="17" t="n"/>
      <c r="J990" s="13">
        <f>IF($B990="","",MONTH($B990))</f>
        <v/>
      </c>
      <c r="K990" s="13">
        <f>IF($B990="","",YEAR($B990))</f>
        <v/>
      </c>
    </row>
    <row r="991">
      <c r="A991" s="18">
        <f>IF($B991="","",ROW()-9)</f>
        <v/>
      </c>
      <c r="B991" s="19" t="n"/>
      <c r="C991" s="4" t="n"/>
      <c r="D991" s="4" t="n"/>
      <c r="E991" s="4" t="n"/>
      <c r="F991" s="4">
        <f>IF($E991="","",IFERROR(VLOOKUP($E991,AKUN!$A$2:$B$200,2,FALSE),"Kode tidak ditemukan"))</f>
        <v/>
      </c>
      <c r="G991" s="4" t="n"/>
      <c r="H991" s="9" t="n"/>
      <c r="I991" s="9" t="n"/>
      <c r="J991" s="18">
        <f>IF($B991="","",MONTH($B991))</f>
        <v/>
      </c>
      <c r="K991" s="18">
        <f>IF($B991="","",YEAR($B991))</f>
        <v/>
      </c>
    </row>
    <row r="992">
      <c r="A992" s="13">
        <f>IF($B992="","",ROW()-9)</f>
        <v/>
      </c>
      <c r="B992" s="14" t="n"/>
      <c r="C992" s="15" t="n"/>
      <c r="D992" s="15" t="n"/>
      <c r="E992" s="15" t="n"/>
      <c r="F992" s="15">
        <f>IF($E992="","",IFERROR(VLOOKUP($E992,AKUN!$A$2:$B$200,2,FALSE),"Kode tidak ditemukan"))</f>
        <v/>
      </c>
      <c r="G992" s="15" t="n"/>
      <c r="H992" s="17" t="n"/>
      <c r="I992" s="17" t="n"/>
      <c r="J992" s="13">
        <f>IF($B992="","",MONTH($B992))</f>
        <v/>
      </c>
      <c r="K992" s="13">
        <f>IF($B992="","",YEAR($B992))</f>
        <v/>
      </c>
    </row>
    <row r="993">
      <c r="A993" s="18">
        <f>IF($B993="","",ROW()-9)</f>
        <v/>
      </c>
      <c r="B993" s="19" t="n"/>
      <c r="C993" s="4" t="n"/>
      <c r="D993" s="4" t="n"/>
      <c r="E993" s="4" t="n"/>
      <c r="F993" s="4">
        <f>IF($E993="","",IFERROR(VLOOKUP($E993,AKUN!$A$2:$B$200,2,FALSE),"Kode tidak ditemukan"))</f>
        <v/>
      </c>
      <c r="G993" s="4" t="n"/>
      <c r="H993" s="9" t="n"/>
      <c r="I993" s="9" t="n"/>
      <c r="J993" s="18">
        <f>IF($B993="","",MONTH($B993))</f>
        <v/>
      </c>
      <c r="K993" s="18">
        <f>IF($B993="","",YEAR($B993))</f>
        <v/>
      </c>
    </row>
    <row r="994">
      <c r="A994" s="13">
        <f>IF($B994="","",ROW()-9)</f>
        <v/>
      </c>
      <c r="B994" s="14" t="n"/>
      <c r="C994" s="15" t="n"/>
      <c r="D994" s="15" t="n"/>
      <c r="E994" s="15" t="n"/>
      <c r="F994" s="15">
        <f>IF($E994="","",IFERROR(VLOOKUP($E994,AKUN!$A$2:$B$200,2,FALSE),"Kode tidak ditemukan"))</f>
        <v/>
      </c>
      <c r="G994" s="15" t="n"/>
      <c r="H994" s="17" t="n"/>
      <c r="I994" s="17" t="n"/>
      <c r="J994" s="13">
        <f>IF($B994="","",MONTH($B994))</f>
        <v/>
      </c>
      <c r="K994" s="13">
        <f>IF($B994="","",YEAR($B994))</f>
        <v/>
      </c>
    </row>
    <row r="995">
      <c r="A995" s="18">
        <f>IF($B995="","",ROW()-9)</f>
        <v/>
      </c>
      <c r="B995" s="19" t="n"/>
      <c r="C995" s="4" t="n"/>
      <c r="D995" s="4" t="n"/>
      <c r="E995" s="4" t="n"/>
      <c r="F995" s="4">
        <f>IF($E995="","",IFERROR(VLOOKUP($E995,AKUN!$A$2:$B$200,2,FALSE),"Kode tidak ditemukan"))</f>
        <v/>
      </c>
      <c r="G995" s="4" t="n"/>
      <c r="H995" s="9" t="n"/>
      <c r="I995" s="9" t="n"/>
      <c r="J995" s="18">
        <f>IF($B995="","",MONTH($B995))</f>
        <v/>
      </c>
      <c r="K995" s="18">
        <f>IF($B995="","",YEAR($B995))</f>
        <v/>
      </c>
    </row>
    <row r="996">
      <c r="A996" s="13">
        <f>IF($B996="","",ROW()-9)</f>
        <v/>
      </c>
      <c r="B996" s="14" t="n"/>
      <c r="C996" s="15" t="n"/>
      <c r="D996" s="15" t="n"/>
      <c r="E996" s="15" t="n"/>
      <c r="F996" s="15">
        <f>IF($E996="","",IFERROR(VLOOKUP($E996,AKUN!$A$2:$B$200,2,FALSE),"Kode tidak ditemukan"))</f>
        <v/>
      </c>
      <c r="G996" s="15" t="n"/>
      <c r="H996" s="17" t="n"/>
      <c r="I996" s="17" t="n"/>
      <c r="J996" s="13">
        <f>IF($B996="","",MONTH($B996))</f>
        <v/>
      </c>
      <c r="K996" s="13">
        <f>IF($B996="","",YEAR($B996))</f>
        <v/>
      </c>
    </row>
    <row r="997">
      <c r="A997" s="18">
        <f>IF($B997="","",ROW()-9)</f>
        <v/>
      </c>
      <c r="B997" s="19" t="n"/>
      <c r="C997" s="4" t="n"/>
      <c r="D997" s="4" t="n"/>
      <c r="E997" s="4" t="n"/>
      <c r="F997" s="4">
        <f>IF($E997="","",IFERROR(VLOOKUP($E997,AKUN!$A$2:$B$200,2,FALSE),"Kode tidak ditemukan"))</f>
        <v/>
      </c>
      <c r="G997" s="4" t="n"/>
      <c r="H997" s="9" t="n"/>
      <c r="I997" s="9" t="n"/>
      <c r="J997" s="18">
        <f>IF($B997="","",MONTH($B997))</f>
        <v/>
      </c>
      <c r="K997" s="18">
        <f>IF($B997="","",YEAR($B997))</f>
        <v/>
      </c>
    </row>
    <row r="998">
      <c r="A998" s="13">
        <f>IF($B998="","",ROW()-9)</f>
        <v/>
      </c>
      <c r="B998" s="14" t="n"/>
      <c r="C998" s="15" t="n"/>
      <c r="D998" s="15" t="n"/>
      <c r="E998" s="15" t="n"/>
      <c r="F998" s="15">
        <f>IF($E998="","",IFERROR(VLOOKUP($E998,AKUN!$A$2:$B$200,2,FALSE),"Kode tidak ditemukan"))</f>
        <v/>
      </c>
      <c r="G998" s="15" t="n"/>
      <c r="H998" s="17" t="n"/>
      <c r="I998" s="17" t="n"/>
      <c r="J998" s="13">
        <f>IF($B998="","",MONTH($B998))</f>
        <v/>
      </c>
      <c r="K998" s="13">
        <f>IF($B998="","",YEAR($B998))</f>
        <v/>
      </c>
    </row>
    <row r="999">
      <c r="A999" s="18">
        <f>IF($B999="","",ROW()-9)</f>
        <v/>
      </c>
      <c r="B999" s="19" t="n"/>
      <c r="C999" s="4" t="n"/>
      <c r="D999" s="4" t="n"/>
      <c r="E999" s="4" t="n"/>
      <c r="F999" s="4">
        <f>IF($E999="","",IFERROR(VLOOKUP($E999,AKUN!$A$2:$B$200,2,FALSE),"Kode tidak ditemukan"))</f>
        <v/>
      </c>
      <c r="G999" s="4" t="n"/>
      <c r="H999" s="9" t="n"/>
      <c r="I999" s="9" t="n"/>
      <c r="J999" s="18">
        <f>IF($B999="","",MONTH($B999))</f>
        <v/>
      </c>
      <c r="K999" s="18">
        <f>IF($B999="","",YEAR($B999))</f>
        <v/>
      </c>
    </row>
    <row r="1000">
      <c r="A1000" s="13">
        <f>IF($B1000="","",ROW()-9)</f>
        <v/>
      </c>
      <c r="B1000" s="14" t="n"/>
      <c r="C1000" s="15" t="n"/>
      <c r="D1000" s="15" t="n"/>
      <c r="E1000" s="15" t="n"/>
      <c r="F1000" s="15">
        <f>IF($E1000="","",IFERROR(VLOOKUP($E1000,AKUN!$A$2:$B$200,2,FALSE),"Kode tidak ditemukan"))</f>
        <v/>
      </c>
      <c r="G1000" s="15" t="n"/>
      <c r="H1000" s="17" t="n"/>
      <c r="I1000" s="17" t="n"/>
      <c r="J1000" s="13">
        <f>IF($B1000="","",MONTH($B1000))</f>
        <v/>
      </c>
      <c r="K1000" s="13">
        <f>IF($B1000="","",YEAR($B1000))</f>
        <v/>
      </c>
    </row>
  </sheetData>
  <autoFilter ref="A9:K1000"/>
  <mergeCells count="2">
    <mergeCell ref="A2:K2"/>
    <mergeCell ref="A3:K3"/>
  </mergeCells>
  <dataValidations count="4">
    <dataValidation sqref="C10:C1000" showDropDown="0" showInputMessage="0" showErrorMessage="0" allowBlank="1" type="list">
      <formula1>=UnitUsaha</formula1>
    </dataValidation>
    <dataValidation sqref="D10:D1000" showDropDown="0" showInputMessage="0" showErrorMessage="0" allowBlank="1" type="list">
      <formula1>"Operasional,Penyesuaian"</formula1>
    </dataValidation>
    <dataValidation sqref="E10:E1000" showDropDown="0" showInputMessage="0" showErrorMessage="0" allowBlank="1" type="list">
      <formula1>=KodeAkun</formula1>
    </dataValidation>
    <dataValidation sqref="B10:B1000" showDropDown="0" showInputMessage="0" showErrorMessage="0" allowBlank="1" type="date" operator="between">
      <formula1>DATE(2020,1,1)</formula1>
      <formula2>DATE(2040,12,31)</formula2>
    </dataValidation>
  </dataValidation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2:P54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3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</cols>
  <sheetData>
    <row r="2">
      <c r="B2" s="11" t="inlineStr">
        <is>
          <t>RINGKASAN BULANAN PER AKUN</t>
        </is>
      </c>
    </row>
    <row r="3">
      <c r="B3" s="2">
        <f>"Tahun aktif: "&amp;TahunSel</f>
        <v/>
      </c>
    </row>
    <row r="6">
      <c r="A6" s="12" t="inlineStr">
        <is>
          <t>KODE AKUN</t>
        </is>
      </c>
      <c r="B6" s="12" t="inlineStr">
        <is>
          <t>NAMA AKUN</t>
        </is>
      </c>
      <c r="C6" s="12" t="inlineStr">
        <is>
          <t>JENIS</t>
        </is>
      </c>
      <c r="D6" s="12" t="inlineStr">
        <is>
          <t>Jan</t>
        </is>
      </c>
      <c r="E6" s="12" t="inlineStr">
        <is>
          <t>Feb</t>
        </is>
      </c>
      <c r="F6" s="12" t="inlineStr">
        <is>
          <t>Mar</t>
        </is>
      </c>
      <c r="G6" s="12" t="inlineStr">
        <is>
          <t>Apr</t>
        </is>
      </c>
      <c r="H6" s="12" t="inlineStr">
        <is>
          <t>Mei</t>
        </is>
      </c>
      <c r="I6" s="12" t="inlineStr">
        <is>
          <t>Jun</t>
        </is>
      </c>
      <c r="J6" s="12" t="inlineStr">
        <is>
          <t>Jul</t>
        </is>
      </c>
      <c r="K6" s="12" t="inlineStr">
        <is>
          <t>Agu</t>
        </is>
      </c>
      <c r="L6" s="12" t="inlineStr">
        <is>
          <t>Sep</t>
        </is>
      </c>
      <c r="M6" s="12" t="inlineStr">
        <is>
          <t>Okt</t>
        </is>
      </c>
      <c r="N6" s="12" t="inlineStr">
        <is>
          <t>Nov</t>
        </is>
      </c>
      <c r="O6" s="12" t="inlineStr">
        <is>
          <t>Des</t>
        </is>
      </c>
      <c r="P6" s="12" t="inlineStr">
        <is>
          <t>TOTAL TAHUN</t>
        </is>
      </c>
    </row>
    <row r="7">
      <c r="A7" s="21" t="inlineStr">
        <is>
          <t>PENDAPATAN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</row>
    <row r="8">
      <c r="A8" s="16" t="inlineStr">
        <is>
          <t>4.1.02.01</t>
        </is>
      </c>
      <c r="B8" s="15" t="inlineStr">
        <is>
          <t>Pendapatan Pengelolaan Air Bersih</t>
        </is>
      </c>
      <c r="C8" s="15" t="inlineStr">
        <is>
          <t>Pendapatan</t>
        </is>
      </c>
      <c r="D8" s="17">
        <f>SUMIFS('TRANSAKSI'!$I$10:$I$1000,'TRANSAKSI'!$E$10:$E$1000,"4.1.02.01",'TRANSAKSI'!$J$10:$J$1000,1,'TRANSAKSI'!$K$10:$K$1000,TahunSel)-SUMIFS('TRANSAKSI'!$H$10:$H$1000,'TRANSAKSI'!$E$10:$E$1000,"4.1.02.01",'TRANSAKSI'!$J$10:$J$1000,1,'TRANSAKSI'!$K$10:$K$1000,TahunSel)</f>
        <v/>
      </c>
      <c r="E8" s="17">
        <f>SUMIFS('TRANSAKSI'!$I$10:$I$1000,'TRANSAKSI'!$E$10:$E$1000,"4.1.02.01",'TRANSAKSI'!$J$10:$J$1000,2,'TRANSAKSI'!$K$10:$K$1000,TahunSel)-SUMIFS('TRANSAKSI'!$H$10:$H$1000,'TRANSAKSI'!$E$10:$E$1000,"4.1.02.01",'TRANSAKSI'!$J$10:$J$1000,2,'TRANSAKSI'!$K$10:$K$1000,TahunSel)</f>
        <v/>
      </c>
      <c r="F8" s="17">
        <f>SUMIFS('TRANSAKSI'!$I$10:$I$1000,'TRANSAKSI'!$E$10:$E$1000,"4.1.02.01",'TRANSAKSI'!$J$10:$J$1000,3,'TRANSAKSI'!$K$10:$K$1000,TahunSel)-SUMIFS('TRANSAKSI'!$H$10:$H$1000,'TRANSAKSI'!$E$10:$E$1000,"4.1.02.01",'TRANSAKSI'!$J$10:$J$1000,3,'TRANSAKSI'!$K$10:$K$1000,TahunSel)</f>
        <v/>
      </c>
      <c r="G8" s="17">
        <f>SUMIFS('TRANSAKSI'!$I$10:$I$1000,'TRANSAKSI'!$E$10:$E$1000,"4.1.02.01",'TRANSAKSI'!$J$10:$J$1000,4,'TRANSAKSI'!$K$10:$K$1000,TahunSel)-SUMIFS('TRANSAKSI'!$H$10:$H$1000,'TRANSAKSI'!$E$10:$E$1000,"4.1.02.01",'TRANSAKSI'!$J$10:$J$1000,4,'TRANSAKSI'!$K$10:$K$1000,TahunSel)</f>
        <v/>
      </c>
      <c r="H8" s="17">
        <f>SUMIFS('TRANSAKSI'!$I$10:$I$1000,'TRANSAKSI'!$E$10:$E$1000,"4.1.02.01",'TRANSAKSI'!$J$10:$J$1000,5,'TRANSAKSI'!$K$10:$K$1000,TahunSel)-SUMIFS('TRANSAKSI'!$H$10:$H$1000,'TRANSAKSI'!$E$10:$E$1000,"4.1.02.01",'TRANSAKSI'!$J$10:$J$1000,5,'TRANSAKSI'!$K$10:$K$1000,TahunSel)</f>
        <v/>
      </c>
      <c r="I8" s="17">
        <f>SUMIFS('TRANSAKSI'!$I$10:$I$1000,'TRANSAKSI'!$E$10:$E$1000,"4.1.02.01",'TRANSAKSI'!$J$10:$J$1000,6,'TRANSAKSI'!$K$10:$K$1000,TahunSel)-SUMIFS('TRANSAKSI'!$H$10:$H$1000,'TRANSAKSI'!$E$10:$E$1000,"4.1.02.01",'TRANSAKSI'!$J$10:$J$1000,6,'TRANSAKSI'!$K$10:$K$1000,TahunSel)</f>
        <v/>
      </c>
      <c r="J8" s="17">
        <f>SUMIFS('TRANSAKSI'!$I$10:$I$1000,'TRANSAKSI'!$E$10:$E$1000,"4.1.02.01",'TRANSAKSI'!$J$10:$J$1000,7,'TRANSAKSI'!$K$10:$K$1000,TahunSel)-SUMIFS('TRANSAKSI'!$H$10:$H$1000,'TRANSAKSI'!$E$10:$E$1000,"4.1.02.01",'TRANSAKSI'!$J$10:$J$1000,7,'TRANSAKSI'!$K$10:$K$1000,TahunSel)</f>
        <v/>
      </c>
      <c r="K8" s="17">
        <f>SUMIFS('TRANSAKSI'!$I$10:$I$1000,'TRANSAKSI'!$E$10:$E$1000,"4.1.02.01",'TRANSAKSI'!$J$10:$J$1000,8,'TRANSAKSI'!$K$10:$K$1000,TahunSel)-SUMIFS('TRANSAKSI'!$H$10:$H$1000,'TRANSAKSI'!$E$10:$E$1000,"4.1.02.01",'TRANSAKSI'!$J$10:$J$1000,8,'TRANSAKSI'!$K$10:$K$1000,TahunSel)</f>
        <v/>
      </c>
      <c r="L8" s="17">
        <f>SUMIFS('TRANSAKSI'!$I$10:$I$1000,'TRANSAKSI'!$E$10:$E$1000,"4.1.02.01",'TRANSAKSI'!$J$10:$J$1000,9,'TRANSAKSI'!$K$10:$K$1000,TahunSel)-SUMIFS('TRANSAKSI'!$H$10:$H$1000,'TRANSAKSI'!$E$10:$E$1000,"4.1.02.01",'TRANSAKSI'!$J$10:$J$1000,9,'TRANSAKSI'!$K$10:$K$1000,TahunSel)</f>
        <v/>
      </c>
      <c r="M8" s="17">
        <f>SUMIFS('TRANSAKSI'!$I$10:$I$1000,'TRANSAKSI'!$E$10:$E$1000,"4.1.02.01",'TRANSAKSI'!$J$10:$J$1000,10,'TRANSAKSI'!$K$10:$K$1000,TahunSel)-SUMIFS('TRANSAKSI'!$H$10:$H$1000,'TRANSAKSI'!$E$10:$E$1000,"4.1.02.01",'TRANSAKSI'!$J$10:$J$1000,10,'TRANSAKSI'!$K$10:$K$1000,TahunSel)</f>
        <v/>
      </c>
      <c r="N8" s="17">
        <f>SUMIFS('TRANSAKSI'!$I$10:$I$1000,'TRANSAKSI'!$E$10:$E$1000,"4.1.02.01",'TRANSAKSI'!$J$10:$J$1000,11,'TRANSAKSI'!$K$10:$K$1000,TahunSel)-SUMIFS('TRANSAKSI'!$H$10:$H$1000,'TRANSAKSI'!$E$10:$E$1000,"4.1.02.01",'TRANSAKSI'!$J$10:$J$1000,11,'TRANSAKSI'!$K$10:$K$1000,TahunSel)</f>
        <v/>
      </c>
      <c r="O8" s="17">
        <f>SUMIFS('TRANSAKSI'!$I$10:$I$1000,'TRANSAKSI'!$E$10:$E$1000,"4.1.02.01",'TRANSAKSI'!$J$10:$J$1000,12,'TRANSAKSI'!$K$10:$K$1000,TahunSel)-SUMIFS('TRANSAKSI'!$H$10:$H$1000,'TRANSAKSI'!$E$10:$E$1000,"4.1.02.01",'TRANSAKSI'!$J$10:$J$1000,12,'TRANSAKSI'!$K$10:$K$1000,TahunSel)</f>
        <v/>
      </c>
      <c r="P8" s="17">
        <f>SUM(D8:O8)</f>
        <v/>
      </c>
    </row>
    <row r="9">
      <c r="A9" s="20" t="inlineStr">
        <is>
          <t>4.1.03.01</t>
        </is>
      </c>
      <c r="B9" s="4" t="inlineStr">
        <is>
          <t>Pendapatan Pengelolaan Sampah</t>
        </is>
      </c>
      <c r="C9" s="4" t="inlineStr">
        <is>
          <t>Pendapatan</t>
        </is>
      </c>
      <c r="D9" s="9">
        <f>SUMIFS('TRANSAKSI'!$I$10:$I$1000,'TRANSAKSI'!$E$10:$E$1000,"4.1.03.01",'TRANSAKSI'!$J$10:$J$1000,1,'TRANSAKSI'!$K$10:$K$1000,TahunSel)-SUMIFS('TRANSAKSI'!$H$10:$H$1000,'TRANSAKSI'!$E$10:$E$1000,"4.1.03.01",'TRANSAKSI'!$J$10:$J$1000,1,'TRANSAKSI'!$K$10:$K$1000,TahunSel)</f>
        <v/>
      </c>
      <c r="E9" s="9">
        <f>SUMIFS('TRANSAKSI'!$I$10:$I$1000,'TRANSAKSI'!$E$10:$E$1000,"4.1.03.01",'TRANSAKSI'!$J$10:$J$1000,2,'TRANSAKSI'!$K$10:$K$1000,TahunSel)-SUMIFS('TRANSAKSI'!$H$10:$H$1000,'TRANSAKSI'!$E$10:$E$1000,"4.1.03.01",'TRANSAKSI'!$J$10:$J$1000,2,'TRANSAKSI'!$K$10:$K$1000,TahunSel)</f>
        <v/>
      </c>
      <c r="F9" s="9">
        <f>SUMIFS('TRANSAKSI'!$I$10:$I$1000,'TRANSAKSI'!$E$10:$E$1000,"4.1.03.01",'TRANSAKSI'!$J$10:$J$1000,3,'TRANSAKSI'!$K$10:$K$1000,TahunSel)-SUMIFS('TRANSAKSI'!$H$10:$H$1000,'TRANSAKSI'!$E$10:$E$1000,"4.1.03.01",'TRANSAKSI'!$J$10:$J$1000,3,'TRANSAKSI'!$K$10:$K$1000,TahunSel)</f>
        <v/>
      </c>
      <c r="G9" s="9">
        <f>SUMIFS('TRANSAKSI'!$I$10:$I$1000,'TRANSAKSI'!$E$10:$E$1000,"4.1.03.01",'TRANSAKSI'!$J$10:$J$1000,4,'TRANSAKSI'!$K$10:$K$1000,TahunSel)-SUMIFS('TRANSAKSI'!$H$10:$H$1000,'TRANSAKSI'!$E$10:$E$1000,"4.1.03.01",'TRANSAKSI'!$J$10:$J$1000,4,'TRANSAKSI'!$K$10:$K$1000,TahunSel)</f>
        <v/>
      </c>
      <c r="H9" s="9">
        <f>SUMIFS('TRANSAKSI'!$I$10:$I$1000,'TRANSAKSI'!$E$10:$E$1000,"4.1.03.01",'TRANSAKSI'!$J$10:$J$1000,5,'TRANSAKSI'!$K$10:$K$1000,TahunSel)-SUMIFS('TRANSAKSI'!$H$10:$H$1000,'TRANSAKSI'!$E$10:$E$1000,"4.1.03.01",'TRANSAKSI'!$J$10:$J$1000,5,'TRANSAKSI'!$K$10:$K$1000,TahunSel)</f>
        <v/>
      </c>
      <c r="I9" s="9">
        <f>SUMIFS('TRANSAKSI'!$I$10:$I$1000,'TRANSAKSI'!$E$10:$E$1000,"4.1.03.01",'TRANSAKSI'!$J$10:$J$1000,6,'TRANSAKSI'!$K$10:$K$1000,TahunSel)-SUMIFS('TRANSAKSI'!$H$10:$H$1000,'TRANSAKSI'!$E$10:$E$1000,"4.1.03.01",'TRANSAKSI'!$J$10:$J$1000,6,'TRANSAKSI'!$K$10:$K$1000,TahunSel)</f>
        <v/>
      </c>
      <c r="J9" s="9">
        <f>SUMIFS('TRANSAKSI'!$I$10:$I$1000,'TRANSAKSI'!$E$10:$E$1000,"4.1.03.01",'TRANSAKSI'!$J$10:$J$1000,7,'TRANSAKSI'!$K$10:$K$1000,TahunSel)-SUMIFS('TRANSAKSI'!$H$10:$H$1000,'TRANSAKSI'!$E$10:$E$1000,"4.1.03.01",'TRANSAKSI'!$J$10:$J$1000,7,'TRANSAKSI'!$K$10:$K$1000,TahunSel)</f>
        <v/>
      </c>
      <c r="K9" s="9">
        <f>SUMIFS('TRANSAKSI'!$I$10:$I$1000,'TRANSAKSI'!$E$10:$E$1000,"4.1.03.01",'TRANSAKSI'!$J$10:$J$1000,8,'TRANSAKSI'!$K$10:$K$1000,TahunSel)-SUMIFS('TRANSAKSI'!$H$10:$H$1000,'TRANSAKSI'!$E$10:$E$1000,"4.1.03.01",'TRANSAKSI'!$J$10:$J$1000,8,'TRANSAKSI'!$K$10:$K$1000,TahunSel)</f>
        <v/>
      </c>
      <c r="L9" s="9">
        <f>SUMIFS('TRANSAKSI'!$I$10:$I$1000,'TRANSAKSI'!$E$10:$E$1000,"4.1.03.01",'TRANSAKSI'!$J$10:$J$1000,9,'TRANSAKSI'!$K$10:$K$1000,TahunSel)-SUMIFS('TRANSAKSI'!$H$10:$H$1000,'TRANSAKSI'!$E$10:$E$1000,"4.1.03.01",'TRANSAKSI'!$J$10:$J$1000,9,'TRANSAKSI'!$K$10:$K$1000,TahunSel)</f>
        <v/>
      </c>
      <c r="M9" s="9">
        <f>SUMIFS('TRANSAKSI'!$I$10:$I$1000,'TRANSAKSI'!$E$10:$E$1000,"4.1.03.01",'TRANSAKSI'!$J$10:$J$1000,10,'TRANSAKSI'!$K$10:$K$1000,TahunSel)-SUMIFS('TRANSAKSI'!$H$10:$H$1000,'TRANSAKSI'!$E$10:$E$1000,"4.1.03.01",'TRANSAKSI'!$J$10:$J$1000,10,'TRANSAKSI'!$K$10:$K$1000,TahunSel)</f>
        <v/>
      </c>
      <c r="N9" s="9">
        <f>SUMIFS('TRANSAKSI'!$I$10:$I$1000,'TRANSAKSI'!$E$10:$E$1000,"4.1.03.01",'TRANSAKSI'!$J$10:$J$1000,11,'TRANSAKSI'!$K$10:$K$1000,TahunSel)-SUMIFS('TRANSAKSI'!$H$10:$H$1000,'TRANSAKSI'!$E$10:$E$1000,"4.1.03.01",'TRANSAKSI'!$J$10:$J$1000,11,'TRANSAKSI'!$K$10:$K$1000,TahunSel)</f>
        <v/>
      </c>
      <c r="O9" s="9">
        <f>SUMIFS('TRANSAKSI'!$I$10:$I$1000,'TRANSAKSI'!$E$10:$E$1000,"4.1.03.01",'TRANSAKSI'!$J$10:$J$1000,12,'TRANSAKSI'!$K$10:$K$1000,TahunSel)-SUMIFS('TRANSAKSI'!$H$10:$H$1000,'TRANSAKSI'!$E$10:$E$1000,"4.1.03.01",'TRANSAKSI'!$J$10:$J$1000,12,'TRANSAKSI'!$K$10:$K$1000,TahunSel)</f>
        <v/>
      </c>
      <c r="P9" s="9">
        <f>SUM(D9:O9)</f>
        <v/>
      </c>
    </row>
    <row r="10">
      <c r="A10" s="16" t="inlineStr">
        <is>
          <t>4.1.04.02</t>
        </is>
      </c>
      <c r="B10" s="15" t="inlineStr">
        <is>
          <t>Pendapatan Sewa Toko dan Kios</t>
        </is>
      </c>
      <c r="C10" s="15" t="inlineStr">
        <is>
          <t>Pendapatan</t>
        </is>
      </c>
      <c r="D10" s="17">
        <f>SUMIFS('TRANSAKSI'!$I$10:$I$1000,'TRANSAKSI'!$E$10:$E$1000,"4.1.04.02",'TRANSAKSI'!$J$10:$J$1000,1,'TRANSAKSI'!$K$10:$K$1000,TahunSel)-SUMIFS('TRANSAKSI'!$H$10:$H$1000,'TRANSAKSI'!$E$10:$E$1000,"4.1.04.02",'TRANSAKSI'!$J$10:$J$1000,1,'TRANSAKSI'!$K$10:$K$1000,TahunSel)</f>
        <v/>
      </c>
      <c r="E10" s="17">
        <f>SUMIFS('TRANSAKSI'!$I$10:$I$1000,'TRANSAKSI'!$E$10:$E$1000,"4.1.04.02",'TRANSAKSI'!$J$10:$J$1000,2,'TRANSAKSI'!$K$10:$K$1000,TahunSel)-SUMIFS('TRANSAKSI'!$H$10:$H$1000,'TRANSAKSI'!$E$10:$E$1000,"4.1.04.02",'TRANSAKSI'!$J$10:$J$1000,2,'TRANSAKSI'!$K$10:$K$1000,TahunSel)</f>
        <v/>
      </c>
      <c r="F10" s="17">
        <f>SUMIFS('TRANSAKSI'!$I$10:$I$1000,'TRANSAKSI'!$E$10:$E$1000,"4.1.04.02",'TRANSAKSI'!$J$10:$J$1000,3,'TRANSAKSI'!$K$10:$K$1000,TahunSel)-SUMIFS('TRANSAKSI'!$H$10:$H$1000,'TRANSAKSI'!$E$10:$E$1000,"4.1.04.02",'TRANSAKSI'!$J$10:$J$1000,3,'TRANSAKSI'!$K$10:$K$1000,TahunSel)</f>
        <v/>
      </c>
      <c r="G10" s="17">
        <f>SUMIFS('TRANSAKSI'!$I$10:$I$1000,'TRANSAKSI'!$E$10:$E$1000,"4.1.04.02",'TRANSAKSI'!$J$10:$J$1000,4,'TRANSAKSI'!$K$10:$K$1000,TahunSel)-SUMIFS('TRANSAKSI'!$H$10:$H$1000,'TRANSAKSI'!$E$10:$E$1000,"4.1.04.02",'TRANSAKSI'!$J$10:$J$1000,4,'TRANSAKSI'!$K$10:$K$1000,TahunSel)</f>
        <v/>
      </c>
      <c r="H10" s="17">
        <f>SUMIFS('TRANSAKSI'!$I$10:$I$1000,'TRANSAKSI'!$E$10:$E$1000,"4.1.04.02",'TRANSAKSI'!$J$10:$J$1000,5,'TRANSAKSI'!$K$10:$K$1000,TahunSel)-SUMIFS('TRANSAKSI'!$H$10:$H$1000,'TRANSAKSI'!$E$10:$E$1000,"4.1.04.02",'TRANSAKSI'!$J$10:$J$1000,5,'TRANSAKSI'!$K$10:$K$1000,TahunSel)</f>
        <v/>
      </c>
      <c r="I10" s="17">
        <f>SUMIFS('TRANSAKSI'!$I$10:$I$1000,'TRANSAKSI'!$E$10:$E$1000,"4.1.04.02",'TRANSAKSI'!$J$10:$J$1000,6,'TRANSAKSI'!$K$10:$K$1000,TahunSel)-SUMIFS('TRANSAKSI'!$H$10:$H$1000,'TRANSAKSI'!$E$10:$E$1000,"4.1.04.02",'TRANSAKSI'!$J$10:$J$1000,6,'TRANSAKSI'!$K$10:$K$1000,TahunSel)</f>
        <v/>
      </c>
      <c r="J10" s="17">
        <f>SUMIFS('TRANSAKSI'!$I$10:$I$1000,'TRANSAKSI'!$E$10:$E$1000,"4.1.04.02",'TRANSAKSI'!$J$10:$J$1000,7,'TRANSAKSI'!$K$10:$K$1000,TahunSel)-SUMIFS('TRANSAKSI'!$H$10:$H$1000,'TRANSAKSI'!$E$10:$E$1000,"4.1.04.02",'TRANSAKSI'!$J$10:$J$1000,7,'TRANSAKSI'!$K$10:$K$1000,TahunSel)</f>
        <v/>
      </c>
      <c r="K10" s="17">
        <f>SUMIFS('TRANSAKSI'!$I$10:$I$1000,'TRANSAKSI'!$E$10:$E$1000,"4.1.04.02",'TRANSAKSI'!$J$10:$J$1000,8,'TRANSAKSI'!$K$10:$K$1000,TahunSel)-SUMIFS('TRANSAKSI'!$H$10:$H$1000,'TRANSAKSI'!$E$10:$E$1000,"4.1.04.02",'TRANSAKSI'!$J$10:$J$1000,8,'TRANSAKSI'!$K$10:$K$1000,TahunSel)</f>
        <v/>
      </c>
      <c r="L10" s="17">
        <f>SUMIFS('TRANSAKSI'!$I$10:$I$1000,'TRANSAKSI'!$E$10:$E$1000,"4.1.04.02",'TRANSAKSI'!$J$10:$J$1000,9,'TRANSAKSI'!$K$10:$K$1000,TahunSel)-SUMIFS('TRANSAKSI'!$H$10:$H$1000,'TRANSAKSI'!$E$10:$E$1000,"4.1.04.02",'TRANSAKSI'!$J$10:$J$1000,9,'TRANSAKSI'!$K$10:$K$1000,TahunSel)</f>
        <v/>
      </c>
      <c r="M10" s="17">
        <f>SUMIFS('TRANSAKSI'!$I$10:$I$1000,'TRANSAKSI'!$E$10:$E$1000,"4.1.04.02",'TRANSAKSI'!$J$10:$J$1000,10,'TRANSAKSI'!$K$10:$K$1000,TahunSel)-SUMIFS('TRANSAKSI'!$H$10:$H$1000,'TRANSAKSI'!$E$10:$E$1000,"4.1.04.02",'TRANSAKSI'!$J$10:$J$1000,10,'TRANSAKSI'!$K$10:$K$1000,TahunSel)</f>
        <v/>
      </c>
      <c r="N10" s="17">
        <f>SUMIFS('TRANSAKSI'!$I$10:$I$1000,'TRANSAKSI'!$E$10:$E$1000,"4.1.04.02",'TRANSAKSI'!$J$10:$J$1000,11,'TRANSAKSI'!$K$10:$K$1000,TahunSel)-SUMIFS('TRANSAKSI'!$H$10:$H$1000,'TRANSAKSI'!$E$10:$E$1000,"4.1.04.02",'TRANSAKSI'!$J$10:$J$1000,11,'TRANSAKSI'!$K$10:$K$1000,TahunSel)</f>
        <v/>
      </c>
      <c r="O10" s="17">
        <f>SUMIFS('TRANSAKSI'!$I$10:$I$1000,'TRANSAKSI'!$E$10:$E$1000,"4.1.04.02",'TRANSAKSI'!$J$10:$J$1000,12,'TRANSAKSI'!$K$10:$K$1000,TahunSel)-SUMIFS('TRANSAKSI'!$H$10:$H$1000,'TRANSAKSI'!$E$10:$E$1000,"4.1.04.02",'TRANSAKSI'!$J$10:$J$1000,12,'TRANSAKSI'!$K$10:$K$1000,TahunSel)</f>
        <v/>
      </c>
      <c r="P10" s="17">
        <f>SUM(D10:O10)</f>
        <v/>
      </c>
    </row>
    <row r="11">
      <c r="A11" s="20" t="inlineStr">
        <is>
          <t>4.1.04.03</t>
        </is>
      </c>
      <c r="B11" s="4" t="inlineStr">
        <is>
          <t>Pendapatan Sewa Gedung</t>
        </is>
      </c>
      <c r="C11" s="4" t="inlineStr">
        <is>
          <t>Pendapatan</t>
        </is>
      </c>
      <c r="D11" s="9">
        <f>SUMIFS('TRANSAKSI'!$I$10:$I$1000,'TRANSAKSI'!$E$10:$E$1000,"4.1.04.03",'TRANSAKSI'!$J$10:$J$1000,1,'TRANSAKSI'!$K$10:$K$1000,TahunSel)-SUMIFS('TRANSAKSI'!$H$10:$H$1000,'TRANSAKSI'!$E$10:$E$1000,"4.1.04.03",'TRANSAKSI'!$J$10:$J$1000,1,'TRANSAKSI'!$K$10:$K$1000,TahunSel)</f>
        <v/>
      </c>
      <c r="E11" s="9">
        <f>SUMIFS('TRANSAKSI'!$I$10:$I$1000,'TRANSAKSI'!$E$10:$E$1000,"4.1.04.03",'TRANSAKSI'!$J$10:$J$1000,2,'TRANSAKSI'!$K$10:$K$1000,TahunSel)-SUMIFS('TRANSAKSI'!$H$10:$H$1000,'TRANSAKSI'!$E$10:$E$1000,"4.1.04.03",'TRANSAKSI'!$J$10:$J$1000,2,'TRANSAKSI'!$K$10:$K$1000,TahunSel)</f>
        <v/>
      </c>
      <c r="F11" s="9">
        <f>SUMIFS('TRANSAKSI'!$I$10:$I$1000,'TRANSAKSI'!$E$10:$E$1000,"4.1.04.03",'TRANSAKSI'!$J$10:$J$1000,3,'TRANSAKSI'!$K$10:$K$1000,TahunSel)-SUMIFS('TRANSAKSI'!$H$10:$H$1000,'TRANSAKSI'!$E$10:$E$1000,"4.1.04.03",'TRANSAKSI'!$J$10:$J$1000,3,'TRANSAKSI'!$K$10:$K$1000,TahunSel)</f>
        <v/>
      </c>
      <c r="G11" s="9">
        <f>SUMIFS('TRANSAKSI'!$I$10:$I$1000,'TRANSAKSI'!$E$10:$E$1000,"4.1.04.03",'TRANSAKSI'!$J$10:$J$1000,4,'TRANSAKSI'!$K$10:$K$1000,TahunSel)-SUMIFS('TRANSAKSI'!$H$10:$H$1000,'TRANSAKSI'!$E$10:$E$1000,"4.1.04.03",'TRANSAKSI'!$J$10:$J$1000,4,'TRANSAKSI'!$K$10:$K$1000,TahunSel)</f>
        <v/>
      </c>
      <c r="H11" s="9">
        <f>SUMIFS('TRANSAKSI'!$I$10:$I$1000,'TRANSAKSI'!$E$10:$E$1000,"4.1.04.03",'TRANSAKSI'!$J$10:$J$1000,5,'TRANSAKSI'!$K$10:$K$1000,TahunSel)-SUMIFS('TRANSAKSI'!$H$10:$H$1000,'TRANSAKSI'!$E$10:$E$1000,"4.1.04.03",'TRANSAKSI'!$J$10:$J$1000,5,'TRANSAKSI'!$K$10:$K$1000,TahunSel)</f>
        <v/>
      </c>
      <c r="I11" s="9">
        <f>SUMIFS('TRANSAKSI'!$I$10:$I$1000,'TRANSAKSI'!$E$10:$E$1000,"4.1.04.03",'TRANSAKSI'!$J$10:$J$1000,6,'TRANSAKSI'!$K$10:$K$1000,TahunSel)-SUMIFS('TRANSAKSI'!$H$10:$H$1000,'TRANSAKSI'!$E$10:$E$1000,"4.1.04.03",'TRANSAKSI'!$J$10:$J$1000,6,'TRANSAKSI'!$K$10:$K$1000,TahunSel)</f>
        <v/>
      </c>
      <c r="J11" s="9">
        <f>SUMIFS('TRANSAKSI'!$I$10:$I$1000,'TRANSAKSI'!$E$10:$E$1000,"4.1.04.03",'TRANSAKSI'!$J$10:$J$1000,7,'TRANSAKSI'!$K$10:$K$1000,TahunSel)-SUMIFS('TRANSAKSI'!$H$10:$H$1000,'TRANSAKSI'!$E$10:$E$1000,"4.1.04.03",'TRANSAKSI'!$J$10:$J$1000,7,'TRANSAKSI'!$K$10:$K$1000,TahunSel)</f>
        <v/>
      </c>
      <c r="K11" s="9">
        <f>SUMIFS('TRANSAKSI'!$I$10:$I$1000,'TRANSAKSI'!$E$10:$E$1000,"4.1.04.03",'TRANSAKSI'!$J$10:$J$1000,8,'TRANSAKSI'!$K$10:$K$1000,TahunSel)-SUMIFS('TRANSAKSI'!$H$10:$H$1000,'TRANSAKSI'!$E$10:$E$1000,"4.1.04.03",'TRANSAKSI'!$J$10:$J$1000,8,'TRANSAKSI'!$K$10:$K$1000,TahunSel)</f>
        <v/>
      </c>
      <c r="L11" s="9">
        <f>SUMIFS('TRANSAKSI'!$I$10:$I$1000,'TRANSAKSI'!$E$10:$E$1000,"4.1.04.03",'TRANSAKSI'!$J$10:$J$1000,9,'TRANSAKSI'!$K$10:$K$1000,TahunSel)-SUMIFS('TRANSAKSI'!$H$10:$H$1000,'TRANSAKSI'!$E$10:$E$1000,"4.1.04.03",'TRANSAKSI'!$J$10:$J$1000,9,'TRANSAKSI'!$K$10:$K$1000,TahunSel)</f>
        <v/>
      </c>
      <c r="M11" s="9">
        <f>SUMIFS('TRANSAKSI'!$I$10:$I$1000,'TRANSAKSI'!$E$10:$E$1000,"4.1.04.03",'TRANSAKSI'!$J$10:$J$1000,10,'TRANSAKSI'!$K$10:$K$1000,TahunSel)-SUMIFS('TRANSAKSI'!$H$10:$H$1000,'TRANSAKSI'!$E$10:$E$1000,"4.1.04.03",'TRANSAKSI'!$J$10:$J$1000,10,'TRANSAKSI'!$K$10:$K$1000,TahunSel)</f>
        <v/>
      </c>
      <c r="N11" s="9">
        <f>SUMIFS('TRANSAKSI'!$I$10:$I$1000,'TRANSAKSI'!$E$10:$E$1000,"4.1.04.03",'TRANSAKSI'!$J$10:$J$1000,11,'TRANSAKSI'!$K$10:$K$1000,TahunSel)-SUMIFS('TRANSAKSI'!$H$10:$H$1000,'TRANSAKSI'!$E$10:$E$1000,"4.1.04.03",'TRANSAKSI'!$J$10:$J$1000,11,'TRANSAKSI'!$K$10:$K$1000,TahunSel)</f>
        <v/>
      </c>
      <c r="O11" s="9">
        <f>SUMIFS('TRANSAKSI'!$I$10:$I$1000,'TRANSAKSI'!$E$10:$E$1000,"4.1.04.03",'TRANSAKSI'!$J$10:$J$1000,12,'TRANSAKSI'!$K$10:$K$1000,TahunSel)-SUMIFS('TRANSAKSI'!$H$10:$H$1000,'TRANSAKSI'!$E$10:$E$1000,"4.1.04.03",'TRANSAKSI'!$J$10:$J$1000,12,'TRANSAKSI'!$K$10:$K$1000,TahunSel)</f>
        <v/>
      </c>
      <c r="P11" s="9">
        <f>SUM(D11:O11)</f>
        <v/>
      </c>
    </row>
    <row r="12">
      <c r="A12" s="16" t="inlineStr">
        <is>
          <t>4.1.04.06</t>
        </is>
      </c>
      <c r="B12" s="15" t="inlineStr">
        <is>
          <t>Pendapatan Sewa Jaring</t>
        </is>
      </c>
      <c r="C12" s="15" t="inlineStr">
        <is>
          <t>Pendapatan</t>
        </is>
      </c>
      <c r="D12" s="17">
        <f>SUMIFS('TRANSAKSI'!$I$10:$I$1000,'TRANSAKSI'!$E$10:$E$1000,"4.1.04.06",'TRANSAKSI'!$J$10:$J$1000,1,'TRANSAKSI'!$K$10:$K$1000,TahunSel)-SUMIFS('TRANSAKSI'!$H$10:$H$1000,'TRANSAKSI'!$E$10:$E$1000,"4.1.04.06",'TRANSAKSI'!$J$10:$J$1000,1,'TRANSAKSI'!$K$10:$K$1000,TahunSel)</f>
        <v/>
      </c>
      <c r="E12" s="17">
        <f>SUMIFS('TRANSAKSI'!$I$10:$I$1000,'TRANSAKSI'!$E$10:$E$1000,"4.1.04.06",'TRANSAKSI'!$J$10:$J$1000,2,'TRANSAKSI'!$K$10:$K$1000,TahunSel)-SUMIFS('TRANSAKSI'!$H$10:$H$1000,'TRANSAKSI'!$E$10:$E$1000,"4.1.04.06",'TRANSAKSI'!$J$10:$J$1000,2,'TRANSAKSI'!$K$10:$K$1000,TahunSel)</f>
        <v/>
      </c>
      <c r="F12" s="17">
        <f>SUMIFS('TRANSAKSI'!$I$10:$I$1000,'TRANSAKSI'!$E$10:$E$1000,"4.1.04.06",'TRANSAKSI'!$J$10:$J$1000,3,'TRANSAKSI'!$K$10:$K$1000,TahunSel)-SUMIFS('TRANSAKSI'!$H$10:$H$1000,'TRANSAKSI'!$E$10:$E$1000,"4.1.04.06",'TRANSAKSI'!$J$10:$J$1000,3,'TRANSAKSI'!$K$10:$K$1000,TahunSel)</f>
        <v/>
      </c>
      <c r="G12" s="17">
        <f>SUMIFS('TRANSAKSI'!$I$10:$I$1000,'TRANSAKSI'!$E$10:$E$1000,"4.1.04.06",'TRANSAKSI'!$J$10:$J$1000,4,'TRANSAKSI'!$K$10:$K$1000,TahunSel)-SUMIFS('TRANSAKSI'!$H$10:$H$1000,'TRANSAKSI'!$E$10:$E$1000,"4.1.04.06",'TRANSAKSI'!$J$10:$J$1000,4,'TRANSAKSI'!$K$10:$K$1000,TahunSel)</f>
        <v/>
      </c>
      <c r="H12" s="17">
        <f>SUMIFS('TRANSAKSI'!$I$10:$I$1000,'TRANSAKSI'!$E$10:$E$1000,"4.1.04.06",'TRANSAKSI'!$J$10:$J$1000,5,'TRANSAKSI'!$K$10:$K$1000,TahunSel)-SUMIFS('TRANSAKSI'!$H$10:$H$1000,'TRANSAKSI'!$E$10:$E$1000,"4.1.04.06",'TRANSAKSI'!$J$10:$J$1000,5,'TRANSAKSI'!$K$10:$K$1000,TahunSel)</f>
        <v/>
      </c>
      <c r="I12" s="17">
        <f>SUMIFS('TRANSAKSI'!$I$10:$I$1000,'TRANSAKSI'!$E$10:$E$1000,"4.1.04.06",'TRANSAKSI'!$J$10:$J$1000,6,'TRANSAKSI'!$K$10:$K$1000,TahunSel)-SUMIFS('TRANSAKSI'!$H$10:$H$1000,'TRANSAKSI'!$E$10:$E$1000,"4.1.04.06",'TRANSAKSI'!$J$10:$J$1000,6,'TRANSAKSI'!$K$10:$K$1000,TahunSel)</f>
        <v/>
      </c>
      <c r="J12" s="17">
        <f>SUMIFS('TRANSAKSI'!$I$10:$I$1000,'TRANSAKSI'!$E$10:$E$1000,"4.1.04.06",'TRANSAKSI'!$J$10:$J$1000,7,'TRANSAKSI'!$K$10:$K$1000,TahunSel)-SUMIFS('TRANSAKSI'!$H$10:$H$1000,'TRANSAKSI'!$E$10:$E$1000,"4.1.04.06",'TRANSAKSI'!$J$10:$J$1000,7,'TRANSAKSI'!$K$10:$K$1000,TahunSel)</f>
        <v/>
      </c>
      <c r="K12" s="17">
        <f>SUMIFS('TRANSAKSI'!$I$10:$I$1000,'TRANSAKSI'!$E$10:$E$1000,"4.1.04.06",'TRANSAKSI'!$J$10:$J$1000,8,'TRANSAKSI'!$K$10:$K$1000,TahunSel)-SUMIFS('TRANSAKSI'!$H$10:$H$1000,'TRANSAKSI'!$E$10:$E$1000,"4.1.04.06",'TRANSAKSI'!$J$10:$J$1000,8,'TRANSAKSI'!$K$10:$K$1000,TahunSel)</f>
        <v/>
      </c>
      <c r="L12" s="17">
        <f>SUMIFS('TRANSAKSI'!$I$10:$I$1000,'TRANSAKSI'!$E$10:$E$1000,"4.1.04.06",'TRANSAKSI'!$J$10:$J$1000,9,'TRANSAKSI'!$K$10:$K$1000,TahunSel)-SUMIFS('TRANSAKSI'!$H$10:$H$1000,'TRANSAKSI'!$E$10:$E$1000,"4.1.04.06",'TRANSAKSI'!$J$10:$J$1000,9,'TRANSAKSI'!$K$10:$K$1000,TahunSel)</f>
        <v/>
      </c>
      <c r="M12" s="17">
        <f>SUMIFS('TRANSAKSI'!$I$10:$I$1000,'TRANSAKSI'!$E$10:$E$1000,"4.1.04.06",'TRANSAKSI'!$J$10:$J$1000,10,'TRANSAKSI'!$K$10:$K$1000,TahunSel)-SUMIFS('TRANSAKSI'!$H$10:$H$1000,'TRANSAKSI'!$E$10:$E$1000,"4.1.04.06",'TRANSAKSI'!$J$10:$J$1000,10,'TRANSAKSI'!$K$10:$K$1000,TahunSel)</f>
        <v/>
      </c>
      <c r="N12" s="17">
        <f>SUMIFS('TRANSAKSI'!$I$10:$I$1000,'TRANSAKSI'!$E$10:$E$1000,"4.1.04.06",'TRANSAKSI'!$J$10:$J$1000,11,'TRANSAKSI'!$K$10:$K$1000,TahunSel)-SUMIFS('TRANSAKSI'!$H$10:$H$1000,'TRANSAKSI'!$E$10:$E$1000,"4.1.04.06",'TRANSAKSI'!$J$10:$J$1000,11,'TRANSAKSI'!$K$10:$K$1000,TahunSel)</f>
        <v/>
      </c>
      <c r="O12" s="17">
        <f>SUMIFS('TRANSAKSI'!$I$10:$I$1000,'TRANSAKSI'!$E$10:$E$1000,"4.1.04.06",'TRANSAKSI'!$J$10:$J$1000,12,'TRANSAKSI'!$K$10:$K$1000,TahunSel)-SUMIFS('TRANSAKSI'!$H$10:$H$1000,'TRANSAKSI'!$E$10:$E$1000,"4.1.04.06",'TRANSAKSI'!$J$10:$J$1000,12,'TRANSAKSI'!$K$10:$K$1000,TahunSel)</f>
        <v/>
      </c>
      <c r="P12" s="17">
        <f>SUM(D12:O12)</f>
        <v/>
      </c>
    </row>
    <row r="13">
      <c r="A13" s="20" t="inlineStr">
        <is>
          <t>4.1.05.01</t>
        </is>
      </c>
      <c r="B13" s="4" t="inlineStr">
        <is>
          <t>Pendapatan Jasa Bayar Listrik</t>
        </is>
      </c>
      <c r="C13" s="4" t="inlineStr">
        <is>
          <t>Pendapatan</t>
        </is>
      </c>
      <c r="D13" s="9">
        <f>SUMIFS('TRANSAKSI'!$I$10:$I$1000,'TRANSAKSI'!$E$10:$E$1000,"4.1.05.01",'TRANSAKSI'!$J$10:$J$1000,1,'TRANSAKSI'!$K$10:$K$1000,TahunSel)-SUMIFS('TRANSAKSI'!$H$10:$H$1000,'TRANSAKSI'!$E$10:$E$1000,"4.1.05.01",'TRANSAKSI'!$J$10:$J$1000,1,'TRANSAKSI'!$K$10:$K$1000,TahunSel)</f>
        <v/>
      </c>
      <c r="E13" s="9">
        <f>SUMIFS('TRANSAKSI'!$I$10:$I$1000,'TRANSAKSI'!$E$10:$E$1000,"4.1.05.01",'TRANSAKSI'!$J$10:$J$1000,2,'TRANSAKSI'!$K$10:$K$1000,TahunSel)-SUMIFS('TRANSAKSI'!$H$10:$H$1000,'TRANSAKSI'!$E$10:$E$1000,"4.1.05.01",'TRANSAKSI'!$J$10:$J$1000,2,'TRANSAKSI'!$K$10:$K$1000,TahunSel)</f>
        <v/>
      </c>
      <c r="F13" s="9">
        <f>SUMIFS('TRANSAKSI'!$I$10:$I$1000,'TRANSAKSI'!$E$10:$E$1000,"4.1.05.01",'TRANSAKSI'!$J$10:$J$1000,3,'TRANSAKSI'!$K$10:$K$1000,TahunSel)-SUMIFS('TRANSAKSI'!$H$10:$H$1000,'TRANSAKSI'!$E$10:$E$1000,"4.1.05.01",'TRANSAKSI'!$J$10:$J$1000,3,'TRANSAKSI'!$K$10:$K$1000,TahunSel)</f>
        <v/>
      </c>
      <c r="G13" s="9">
        <f>SUMIFS('TRANSAKSI'!$I$10:$I$1000,'TRANSAKSI'!$E$10:$E$1000,"4.1.05.01",'TRANSAKSI'!$J$10:$J$1000,4,'TRANSAKSI'!$K$10:$K$1000,TahunSel)-SUMIFS('TRANSAKSI'!$H$10:$H$1000,'TRANSAKSI'!$E$10:$E$1000,"4.1.05.01",'TRANSAKSI'!$J$10:$J$1000,4,'TRANSAKSI'!$K$10:$K$1000,TahunSel)</f>
        <v/>
      </c>
      <c r="H13" s="9">
        <f>SUMIFS('TRANSAKSI'!$I$10:$I$1000,'TRANSAKSI'!$E$10:$E$1000,"4.1.05.01",'TRANSAKSI'!$J$10:$J$1000,5,'TRANSAKSI'!$K$10:$K$1000,TahunSel)-SUMIFS('TRANSAKSI'!$H$10:$H$1000,'TRANSAKSI'!$E$10:$E$1000,"4.1.05.01",'TRANSAKSI'!$J$10:$J$1000,5,'TRANSAKSI'!$K$10:$K$1000,TahunSel)</f>
        <v/>
      </c>
      <c r="I13" s="9">
        <f>SUMIFS('TRANSAKSI'!$I$10:$I$1000,'TRANSAKSI'!$E$10:$E$1000,"4.1.05.01",'TRANSAKSI'!$J$10:$J$1000,6,'TRANSAKSI'!$K$10:$K$1000,TahunSel)-SUMIFS('TRANSAKSI'!$H$10:$H$1000,'TRANSAKSI'!$E$10:$E$1000,"4.1.05.01",'TRANSAKSI'!$J$10:$J$1000,6,'TRANSAKSI'!$K$10:$K$1000,TahunSel)</f>
        <v/>
      </c>
      <c r="J13" s="9">
        <f>SUMIFS('TRANSAKSI'!$I$10:$I$1000,'TRANSAKSI'!$E$10:$E$1000,"4.1.05.01",'TRANSAKSI'!$J$10:$J$1000,7,'TRANSAKSI'!$K$10:$K$1000,TahunSel)-SUMIFS('TRANSAKSI'!$H$10:$H$1000,'TRANSAKSI'!$E$10:$E$1000,"4.1.05.01",'TRANSAKSI'!$J$10:$J$1000,7,'TRANSAKSI'!$K$10:$K$1000,TahunSel)</f>
        <v/>
      </c>
      <c r="K13" s="9">
        <f>SUMIFS('TRANSAKSI'!$I$10:$I$1000,'TRANSAKSI'!$E$10:$E$1000,"4.1.05.01",'TRANSAKSI'!$J$10:$J$1000,8,'TRANSAKSI'!$K$10:$K$1000,TahunSel)-SUMIFS('TRANSAKSI'!$H$10:$H$1000,'TRANSAKSI'!$E$10:$E$1000,"4.1.05.01",'TRANSAKSI'!$J$10:$J$1000,8,'TRANSAKSI'!$K$10:$K$1000,TahunSel)</f>
        <v/>
      </c>
      <c r="L13" s="9">
        <f>SUMIFS('TRANSAKSI'!$I$10:$I$1000,'TRANSAKSI'!$E$10:$E$1000,"4.1.05.01",'TRANSAKSI'!$J$10:$J$1000,9,'TRANSAKSI'!$K$10:$K$1000,TahunSel)-SUMIFS('TRANSAKSI'!$H$10:$H$1000,'TRANSAKSI'!$E$10:$E$1000,"4.1.05.01",'TRANSAKSI'!$J$10:$J$1000,9,'TRANSAKSI'!$K$10:$K$1000,TahunSel)</f>
        <v/>
      </c>
      <c r="M13" s="9">
        <f>SUMIFS('TRANSAKSI'!$I$10:$I$1000,'TRANSAKSI'!$E$10:$E$1000,"4.1.05.01",'TRANSAKSI'!$J$10:$J$1000,10,'TRANSAKSI'!$K$10:$K$1000,TahunSel)-SUMIFS('TRANSAKSI'!$H$10:$H$1000,'TRANSAKSI'!$E$10:$E$1000,"4.1.05.01",'TRANSAKSI'!$J$10:$J$1000,10,'TRANSAKSI'!$K$10:$K$1000,TahunSel)</f>
        <v/>
      </c>
      <c r="N13" s="9">
        <f>SUMIFS('TRANSAKSI'!$I$10:$I$1000,'TRANSAKSI'!$E$10:$E$1000,"4.1.05.01",'TRANSAKSI'!$J$10:$J$1000,11,'TRANSAKSI'!$K$10:$K$1000,TahunSel)-SUMIFS('TRANSAKSI'!$H$10:$H$1000,'TRANSAKSI'!$E$10:$E$1000,"4.1.05.01",'TRANSAKSI'!$J$10:$J$1000,11,'TRANSAKSI'!$K$10:$K$1000,TahunSel)</f>
        <v/>
      </c>
      <c r="O13" s="9">
        <f>SUMIFS('TRANSAKSI'!$I$10:$I$1000,'TRANSAKSI'!$E$10:$E$1000,"4.1.05.01",'TRANSAKSI'!$J$10:$J$1000,12,'TRANSAKSI'!$K$10:$K$1000,TahunSel)-SUMIFS('TRANSAKSI'!$H$10:$H$1000,'TRANSAKSI'!$E$10:$E$1000,"4.1.05.01",'TRANSAKSI'!$J$10:$J$1000,12,'TRANSAKSI'!$K$10:$K$1000,TahunSel)</f>
        <v/>
      </c>
      <c r="P13" s="9">
        <f>SUM(D13:O13)</f>
        <v/>
      </c>
    </row>
    <row r="14">
      <c r="A14" s="16" t="inlineStr">
        <is>
          <t>4.1.05.03</t>
        </is>
      </c>
      <c r="B14" s="15" t="inlineStr">
        <is>
          <t>Pendapatan Jasa Bayar BPJS</t>
        </is>
      </c>
      <c r="C14" s="15" t="inlineStr">
        <is>
          <t>Pendapatan</t>
        </is>
      </c>
      <c r="D14" s="17">
        <f>SUMIFS('TRANSAKSI'!$I$10:$I$1000,'TRANSAKSI'!$E$10:$E$1000,"4.1.05.03",'TRANSAKSI'!$J$10:$J$1000,1,'TRANSAKSI'!$K$10:$K$1000,TahunSel)-SUMIFS('TRANSAKSI'!$H$10:$H$1000,'TRANSAKSI'!$E$10:$E$1000,"4.1.05.03",'TRANSAKSI'!$J$10:$J$1000,1,'TRANSAKSI'!$K$10:$K$1000,TahunSel)</f>
        <v/>
      </c>
      <c r="E14" s="17">
        <f>SUMIFS('TRANSAKSI'!$I$10:$I$1000,'TRANSAKSI'!$E$10:$E$1000,"4.1.05.03",'TRANSAKSI'!$J$10:$J$1000,2,'TRANSAKSI'!$K$10:$K$1000,TahunSel)-SUMIFS('TRANSAKSI'!$H$10:$H$1000,'TRANSAKSI'!$E$10:$E$1000,"4.1.05.03",'TRANSAKSI'!$J$10:$J$1000,2,'TRANSAKSI'!$K$10:$K$1000,TahunSel)</f>
        <v/>
      </c>
      <c r="F14" s="17">
        <f>SUMIFS('TRANSAKSI'!$I$10:$I$1000,'TRANSAKSI'!$E$10:$E$1000,"4.1.05.03",'TRANSAKSI'!$J$10:$J$1000,3,'TRANSAKSI'!$K$10:$K$1000,TahunSel)-SUMIFS('TRANSAKSI'!$H$10:$H$1000,'TRANSAKSI'!$E$10:$E$1000,"4.1.05.03",'TRANSAKSI'!$J$10:$J$1000,3,'TRANSAKSI'!$K$10:$K$1000,TahunSel)</f>
        <v/>
      </c>
      <c r="G14" s="17">
        <f>SUMIFS('TRANSAKSI'!$I$10:$I$1000,'TRANSAKSI'!$E$10:$E$1000,"4.1.05.03",'TRANSAKSI'!$J$10:$J$1000,4,'TRANSAKSI'!$K$10:$K$1000,TahunSel)-SUMIFS('TRANSAKSI'!$H$10:$H$1000,'TRANSAKSI'!$E$10:$E$1000,"4.1.05.03",'TRANSAKSI'!$J$10:$J$1000,4,'TRANSAKSI'!$K$10:$K$1000,TahunSel)</f>
        <v/>
      </c>
      <c r="H14" s="17">
        <f>SUMIFS('TRANSAKSI'!$I$10:$I$1000,'TRANSAKSI'!$E$10:$E$1000,"4.1.05.03",'TRANSAKSI'!$J$10:$J$1000,5,'TRANSAKSI'!$K$10:$K$1000,TahunSel)-SUMIFS('TRANSAKSI'!$H$10:$H$1000,'TRANSAKSI'!$E$10:$E$1000,"4.1.05.03",'TRANSAKSI'!$J$10:$J$1000,5,'TRANSAKSI'!$K$10:$K$1000,TahunSel)</f>
        <v/>
      </c>
      <c r="I14" s="17">
        <f>SUMIFS('TRANSAKSI'!$I$10:$I$1000,'TRANSAKSI'!$E$10:$E$1000,"4.1.05.03",'TRANSAKSI'!$J$10:$J$1000,6,'TRANSAKSI'!$K$10:$K$1000,TahunSel)-SUMIFS('TRANSAKSI'!$H$10:$H$1000,'TRANSAKSI'!$E$10:$E$1000,"4.1.05.03",'TRANSAKSI'!$J$10:$J$1000,6,'TRANSAKSI'!$K$10:$K$1000,TahunSel)</f>
        <v/>
      </c>
      <c r="J14" s="17">
        <f>SUMIFS('TRANSAKSI'!$I$10:$I$1000,'TRANSAKSI'!$E$10:$E$1000,"4.1.05.03",'TRANSAKSI'!$J$10:$J$1000,7,'TRANSAKSI'!$K$10:$K$1000,TahunSel)-SUMIFS('TRANSAKSI'!$H$10:$H$1000,'TRANSAKSI'!$E$10:$E$1000,"4.1.05.03",'TRANSAKSI'!$J$10:$J$1000,7,'TRANSAKSI'!$K$10:$K$1000,TahunSel)</f>
        <v/>
      </c>
      <c r="K14" s="17">
        <f>SUMIFS('TRANSAKSI'!$I$10:$I$1000,'TRANSAKSI'!$E$10:$E$1000,"4.1.05.03",'TRANSAKSI'!$J$10:$J$1000,8,'TRANSAKSI'!$K$10:$K$1000,TahunSel)-SUMIFS('TRANSAKSI'!$H$10:$H$1000,'TRANSAKSI'!$E$10:$E$1000,"4.1.05.03",'TRANSAKSI'!$J$10:$J$1000,8,'TRANSAKSI'!$K$10:$K$1000,TahunSel)</f>
        <v/>
      </c>
      <c r="L14" s="17">
        <f>SUMIFS('TRANSAKSI'!$I$10:$I$1000,'TRANSAKSI'!$E$10:$E$1000,"4.1.05.03",'TRANSAKSI'!$J$10:$J$1000,9,'TRANSAKSI'!$K$10:$K$1000,TahunSel)-SUMIFS('TRANSAKSI'!$H$10:$H$1000,'TRANSAKSI'!$E$10:$E$1000,"4.1.05.03",'TRANSAKSI'!$J$10:$J$1000,9,'TRANSAKSI'!$K$10:$K$1000,TahunSel)</f>
        <v/>
      </c>
      <c r="M14" s="17">
        <f>SUMIFS('TRANSAKSI'!$I$10:$I$1000,'TRANSAKSI'!$E$10:$E$1000,"4.1.05.03",'TRANSAKSI'!$J$10:$J$1000,10,'TRANSAKSI'!$K$10:$K$1000,TahunSel)-SUMIFS('TRANSAKSI'!$H$10:$H$1000,'TRANSAKSI'!$E$10:$E$1000,"4.1.05.03",'TRANSAKSI'!$J$10:$J$1000,10,'TRANSAKSI'!$K$10:$K$1000,TahunSel)</f>
        <v/>
      </c>
      <c r="N14" s="17">
        <f>SUMIFS('TRANSAKSI'!$I$10:$I$1000,'TRANSAKSI'!$E$10:$E$1000,"4.1.05.03",'TRANSAKSI'!$J$10:$J$1000,11,'TRANSAKSI'!$K$10:$K$1000,TahunSel)-SUMIFS('TRANSAKSI'!$H$10:$H$1000,'TRANSAKSI'!$E$10:$E$1000,"4.1.05.03",'TRANSAKSI'!$J$10:$J$1000,11,'TRANSAKSI'!$K$10:$K$1000,TahunSel)</f>
        <v/>
      </c>
      <c r="O14" s="17">
        <f>SUMIFS('TRANSAKSI'!$I$10:$I$1000,'TRANSAKSI'!$E$10:$E$1000,"4.1.05.03",'TRANSAKSI'!$J$10:$J$1000,12,'TRANSAKSI'!$K$10:$K$1000,TahunSel)-SUMIFS('TRANSAKSI'!$H$10:$H$1000,'TRANSAKSI'!$E$10:$E$1000,"4.1.05.03",'TRANSAKSI'!$J$10:$J$1000,12,'TRANSAKSI'!$K$10:$K$1000,TahunSel)</f>
        <v/>
      </c>
      <c r="P14" s="17">
        <f>SUM(D14:O14)</f>
        <v/>
      </c>
    </row>
    <row r="15">
      <c r="A15" s="20" t="inlineStr">
        <is>
          <t>4.1.08.01</t>
        </is>
      </c>
      <c r="B15" s="4" t="inlineStr">
        <is>
          <t>Pendapatan Simpan Pinjam</t>
        </is>
      </c>
      <c r="C15" s="4" t="inlineStr">
        <is>
          <t>Pendapatan</t>
        </is>
      </c>
      <c r="D15" s="9">
        <f>SUMIFS('TRANSAKSI'!$I$10:$I$1000,'TRANSAKSI'!$E$10:$E$1000,"4.1.08.01",'TRANSAKSI'!$J$10:$J$1000,1,'TRANSAKSI'!$K$10:$K$1000,TahunSel)-SUMIFS('TRANSAKSI'!$H$10:$H$1000,'TRANSAKSI'!$E$10:$E$1000,"4.1.08.01",'TRANSAKSI'!$J$10:$J$1000,1,'TRANSAKSI'!$K$10:$K$1000,TahunSel)</f>
        <v/>
      </c>
      <c r="E15" s="9">
        <f>SUMIFS('TRANSAKSI'!$I$10:$I$1000,'TRANSAKSI'!$E$10:$E$1000,"4.1.08.01",'TRANSAKSI'!$J$10:$J$1000,2,'TRANSAKSI'!$K$10:$K$1000,TahunSel)-SUMIFS('TRANSAKSI'!$H$10:$H$1000,'TRANSAKSI'!$E$10:$E$1000,"4.1.08.01",'TRANSAKSI'!$J$10:$J$1000,2,'TRANSAKSI'!$K$10:$K$1000,TahunSel)</f>
        <v/>
      </c>
      <c r="F15" s="9">
        <f>SUMIFS('TRANSAKSI'!$I$10:$I$1000,'TRANSAKSI'!$E$10:$E$1000,"4.1.08.01",'TRANSAKSI'!$J$10:$J$1000,3,'TRANSAKSI'!$K$10:$K$1000,TahunSel)-SUMIFS('TRANSAKSI'!$H$10:$H$1000,'TRANSAKSI'!$E$10:$E$1000,"4.1.08.01",'TRANSAKSI'!$J$10:$J$1000,3,'TRANSAKSI'!$K$10:$K$1000,TahunSel)</f>
        <v/>
      </c>
      <c r="G15" s="9">
        <f>SUMIFS('TRANSAKSI'!$I$10:$I$1000,'TRANSAKSI'!$E$10:$E$1000,"4.1.08.01",'TRANSAKSI'!$J$10:$J$1000,4,'TRANSAKSI'!$K$10:$K$1000,TahunSel)-SUMIFS('TRANSAKSI'!$H$10:$H$1000,'TRANSAKSI'!$E$10:$E$1000,"4.1.08.01",'TRANSAKSI'!$J$10:$J$1000,4,'TRANSAKSI'!$K$10:$K$1000,TahunSel)</f>
        <v/>
      </c>
      <c r="H15" s="9">
        <f>SUMIFS('TRANSAKSI'!$I$10:$I$1000,'TRANSAKSI'!$E$10:$E$1000,"4.1.08.01",'TRANSAKSI'!$J$10:$J$1000,5,'TRANSAKSI'!$K$10:$K$1000,TahunSel)-SUMIFS('TRANSAKSI'!$H$10:$H$1000,'TRANSAKSI'!$E$10:$E$1000,"4.1.08.01",'TRANSAKSI'!$J$10:$J$1000,5,'TRANSAKSI'!$K$10:$K$1000,TahunSel)</f>
        <v/>
      </c>
      <c r="I15" s="9">
        <f>SUMIFS('TRANSAKSI'!$I$10:$I$1000,'TRANSAKSI'!$E$10:$E$1000,"4.1.08.01",'TRANSAKSI'!$J$10:$J$1000,6,'TRANSAKSI'!$K$10:$K$1000,TahunSel)-SUMIFS('TRANSAKSI'!$H$10:$H$1000,'TRANSAKSI'!$E$10:$E$1000,"4.1.08.01",'TRANSAKSI'!$J$10:$J$1000,6,'TRANSAKSI'!$K$10:$K$1000,TahunSel)</f>
        <v/>
      </c>
      <c r="J15" s="9">
        <f>SUMIFS('TRANSAKSI'!$I$10:$I$1000,'TRANSAKSI'!$E$10:$E$1000,"4.1.08.01",'TRANSAKSI'!$J$10:$J$1000,7,'TRANSAKSI'!$K$10:$K$1000,TahunSel)-SUMIFS('TRANSAKSI'!$H$10:$H$1000,'TRANSAKSI'!$E$10:$E$1000,"4.1.08.01",'TRANSAKSI'!$J$10:$J$1000,7,'TRANSAKSI'!$K$10:$K$1000,TahunSel)</f>
        <v/>
      </c>
      <c r="K15" s="9">
        <f>SUMIFS('TRANSAKSI'!$I$10:$I$1000,'TRANSAKSI'!$E$10:$E$1000,"4.1.08.01",'TRANSAKSI'!$J$10:$J$1000,8,'TRANSAKSI'!$K$10:$K$1000,TahunSel)-SUMIFS('TRANSAKSI'!$H$10:$H$1000,'TRANSAKSI'!$E$10:$E$1000,"4.1.08.01",'TRANSAKSI'!$J$10:$J$1000,8,'TRANSAKSI'!$K$10:$K$1000,TahunSel)</f>
        <v/>
      </c>
      <c r="L15" s="9">
        <f>SUMIFS('TRANSAKSI'!$I$10:$I$1000,'TRANSAKSI'!$E$10:$E$1000,"4.1.08.01",'TRANSAKSI'!$J$10:$J$1000,9,'TRANSAKSI'!$K$10:$K$1000,TahunSel)-SUMIFS('TRANSAKSI'!$H$10:$H$1000,'TRANSAKSI'!$E$10:$E$1000,"4.1.08.01",'TRANSAKSI'!$J$10:$J$1000,9,'TRANSAKSI'!$K$10:$K$1000,TahunSel)</f>
        <v/>
      </c>
      <c r="M15" s="9">
        <f>SUMIFS('TRANSAKSI'!$I$10:$I$1000,'TRANSAKSI'!$E$10:$E$1000,"4.1.08.01",'TRANSAKSI'!$J$10:$J$1000,10,'TRANSAKSI'!$K$10:$K$1000,TahunSel)-SUMIFS('TRANSAKSI'!$H$10:$H$1000,'TRANSAKSI'!$E$10:$E$1000,"4.1.08.01",'TRANSAKSI'!$J$10:$J$1000,10,'TRANSAKSI'!$K$10:$K$1000,TahunSel)</f>
        <v/>
      </c>
      <c r="N15" s="9">
        <f>SUMIFS('TRANSAKSI'!$I$10:$I$1000,'TRANSAKSI'!$E$10:$E$1000,"4.1.08.01",'TRANSAKSI'!$J$10:$J$1000,11,'TRANSAKSI'!$K$10:$K$1000,TahunSel)-SUMIFS('TRANSAKSI'!$H$10:$H$1000,'TRANSAKSI'!$E$10:$E$1000,"4.1.08.01",'TRANSAKSI'!$J$10:$J$1000,11,'TRANSAKSI'!$K$10:$K$1000,TahunSel)</f>
        <v/>
      </c>
      <c r="O15" s="9">
        <f>SUMIFS('TRANSAKSI'!$I$10:$I$1000,'TRANSAKSI'!$E$10:$E$1000,"4.1.08.01",'TRANSAKSI'!$J$10:$J$1000,12,'TRANSAKSI'!$K$10:$K$1000,TahunSel)-SUMIFS('TRANSAKSI'!$H$10:$H$1000,'TRANSAKSI'!$E$10:$E$1000,"4.1.08.01",'TRANSAKSI'!$J$10:$J$1000,12,'TRANSAKSI'!$K$10:$K$1000,TahunSel)</f>
        <v/>
      </c>
      <c r="P15" s="9">
        <f>SUM(D15:O15)</f>
        <v/>
      </c>
    </row>
    <row r="16">
      <c r="A16" s="16" t="inlineStr">
        <is>
          <t>4.1.11.01</t>
        </is>
      </c>
      <c r="B16" s="15" t="inlineStr">
        <is>
          <t>Pendapatan Komisi</t>
        </is>
      </c>
      <c r="C16" s="15" t="inlineStr">
        <is>
          <t>Pendapatan</t>
        </is>
      </c>
      <c r="D16" s="17">
        <f>SUMIFS('TRANSAKSI'!$I$10:$I$1000,'TRANSAKSI'!$E$10:$E$1000,"4.1.11.01",'TRANSAKSI'!$J$10:$J$1000,1,'TRANSAKSI'!$K$10:$K$1000,TahunSel)-SUMIFS('TRANSAKSI'!$H$10:$H$1000,'TRANSAKSI'!$E$10:$E$1000,"4.1.11.01",'TRANSAKSI'!$J$10:$J$1000,1,'TRANSAKSI'!$K$10:$K$1000,TahunSel)</f>
        <v/>
      </c>
      <c r="E16" s="17">
        <f>SUMIFS('TRANSAKSI'!$I$10:$I$1000,'TRANSAKSI'!$E$10:$E$1000,"4.1.11.01",'TRANSAKSI'!$J$10:$J$1000,2,'TRANSAKSI'!$K$10:$K$1000,TahunSel)-SUMIFS('TRANSAKSI'!$H$10:$H$1000,'TRANSAKSI'!$E$10:$E$1000,"4.1.11.01",'TRANSAKSI'!$J$10:$J$1000,2,'TRANSAKSI'!$K$10:$K$1000,TahunSel)</f>
        <v/>
      </c>
      <c r="F16" s="17">
        <f>SUMIFS('TRANSAKSI'!$I$10:$I$1000,'TRANSAKSI'!$E$10:$E$1000,"4.1.11.01",'TRANSAKSI'!$J$10:$J$1000,3,'TRANSAKSI'!$K$10:$K$1000,TahunSel)-SUMIFS('TRANSAKSI'!$H$10:$H$1000,'TRANSAKSI'!$E$10:$E$1000,"4.1.11.01",'TRANSAKSI'!$J$10:$J$1000,3,'TRANSAKSI'!$K$10:$K$1000,TahunSel)</f>
        <v/>
      </c>
      <c r="G16" s="17">
        <f>SUMIFS('TRANSAKSI'!$I$10:$I$1000,'TRANSAKSI'!$E$10:$E$1000,"4.1.11.01",'TRANSAKSI'!$J$10:$J$1000,4,'TRANSAKSI'!$K$10:$K$1000,TahunSel)-SUMIFS('TRANSAKSI'!$H$10:$H$1000,'TRANSAKSI'!$E$10:$E$1000,"4.1.11.01",'TRANSAKSI'!$J$10:$J$1000,4,'TRANSAKSI'!$K$10:$K$1000,TahunSel)</f>
        <v/>
      </c>
      <c r="H16" s="17">
        <f>SUMIFS('TRANSAKSI'!$I$10:$I$1000,'TRANSAKSI'!$E$10:$E$1000,"4.1.11.01",'TRANSAKSI'!$J$10:$J$1000,5,'TRANSAKSI'!$K$10:$K$1000,TahunSel)-SUMIFS('TRANSAKSI'!$H$10:$H$1000,'TRANSAKSI'!$E$10:$E$1000,"4.1.11.01",'TRANSAKSI'!$J$10:$J$1000,5,'TRANSAKSI'!$K$10:$K$1000,TahunSel)</f>
        <v/>
      </c>
      <c r="I16" s="17">
        <f>SUMIFS('TRANSAKSI'!$I$10:$I$1000,'TRANSAKSI'!$E$10:$E$1000,"4.1.11.01",'TRANSAKSI'!$J$10:$J$1000,6,'TRANSAKSI'!$K$10:$K$1000,TahunSel)-SUMIFS('TRANSAKSI'!$H$10:$H$1000,'TRANSAKSI'!$E$10:$E$1000,"4.1.11.01",'TRANSAKSI'!$J$10:$J$1000,6,'TRANSAKSI'!$K$10:$K$1000,TahunSel)</f>
        <v/>
      </c>
      <c r="J16" s="17">
        <f>SUMIFS('TRANSAKSI'!$I$10:$I$1000,'TRANSAKSI'!$E$10:$E$1000,"4.1.11.01",'TRANSAKSI'!$J$10:$J$1000,7,'TRANSAKSI'!$K$10:$K$1000,TahunSel)-SUMIFS('TRANSAKSI'!$H$10:$H$1000,'TRANSAKSI'!$E$10:$E$1000,"4.1.11.01",'TRANSAKSI'!$J$10:$J$1000,7,'TRANSAKSI'!$K$10:$K$1000,TahunSel)</f>
        <v/>
      </c>
      <c r="K16" s="17">
        <f>SUMIFS('TRANSAKSI'!$I$10:$I$1000,'TRANSAKSI'!$E$10:$E$1000,"4.1.11.01",'TRANSAKSI'!$J$10:$J$1000,8,'TRANSAKSI'!$K$10:$K$1000,TahunSel)-SUMIFS('TRANSAKSI'!$H$10:$H$1000,'TRANSAKSI'!$E$10:$E$1000,"4.1.11.01",'TRANSAKSI'!$J$10:$J$1000,8,'TRANSAKSI'!$K$10:$K$1000,TahunSel)</f>
        <v/>
      </c>
      <c r="L16" s="17">
        <f>SUMIFS('TRANSAKSI'!$I$10:$I$1000,'TRANSAKSI'!$E$10:$E$1000,"4.1.11.01",'TRANSAKSI'!$J$10:$J$1000,9,'TRANSAKSI'!$K$10:$K$1000,TahunSel)-SUMIFS('TRANSAKSI'!$H$10:$H$1000,'TRANSAKSI'!$E$10:$E$1000,"4.1.11.01",'TRANSAKSI'!$J$10:$J$1000,9,'TRANSAKSI'!$K$10:$K$1000,TahunSel)</f>
        <v/>
      </c>
      <c r="M16" s="17">
        <f>SUMIFS('TRANSAKSI'!$I$10:$I$1000,'TRANSAKSI'!$E$10:$E$1000,"4.1.11.01",'TRANSAKSI'!$J$10:$J$1000,10,'TRANSAKSI'!$K$10:$K$1000,TahunSel)-SUMIFS('TRANSAKSI'!$H$10:$H$1000,'TRANSAKSI'!$E$10:$E$1000,"4.1.11.01",'TRANSAKSI'!$J$10:$J$1000,10,'TRANSAKSI'!$K$10:$K$1000,TahunSel)</f>
        <v/>
      </c>
      <c r="N16" s="17">
        <f>SUMIFS('TRANSAKSI'!$I$10:$I$1000,'TRANSAKSI'!$E$10:$E$1000,"4.1.11.01",'TRANSAKSI'!$J$10:$J$1000,11,'TRANSAKSI'!$K$10:$K$1000,TahunSel)-SUMIFS('TRANSAKSI'!$H$10:$H$1000,'TRANSAKSI'!$E$10:$E$1000,"4.1.11.01",'TRANSAKSI'!$J$10:$J$1000,11,'TRANSAKSI'!$K$10:$K$1000,TahunSel)</f>
        <v/>
      </c>
      <c r="O16" s="17">
        <f>SUMIFS('TRANSAKSI'!$I$10:$I$1000,'TRANSAKSI'!$E$10:$E$1000,"4.1.11.01",'TRANSAKSI'!$J$10:$J$1000,12,'TRANSAKSI'!$K$10:$K$1000,TahunSel)-SUMIFS('TRANSAKSI'!$H$10:$H$1000,'TRANSAKSI'!$E$10:$E$1000,"4.1.11.01",'TRANSAKSI'!$J$10:$J$1000,12,'TRANSAKSI'!$K$10:$K$1000,TahunSel)</f>
        <v/>
      </c>
      <c r="P16" s="17">
        <f>SUM(D16:O16)</f>
        <v/>
      </c>
    </row>
    <row r="17">
      <c r="A17" s="20" t="inlineStr">
        <is>
          <t>4.1.12.01</t>
        </is>
      </c>
      <c r="B17" s="4" t="inlineStr">
        <is>
          <t>Pendapatan Penjualan Jagung</t>
        </is>
      </c>
      <c r="C17" s="4" t="inlineStr">
        <is>
          <t>Pendapatan</t>
        </is>
      </c>
      <c r="D17" s="9">
        <f>SUMIFS('TRANSAKSI'!$I$10:$I$1000,'TRANSAKSI'!$E$10:$E$1000,"4.1.12.01",'TRANSAKSI'!$J$10:$J$1000,1,'TRANSAKSI'!$K$10:$K$1000,TahunSel)-SUMIFS('TRANSAKSI'!$H$10:$H$1000,'TRANSAKSI'!$E$10:$E$1000,"4.1.12.01",'TRANSAKSI'!$J$10:$J$1000,1,'TRANSAKSI'!$K$10:$K$1000,TahunSel)</f>
        <v/>
      </c>
      <c r="E17" s="9">
        <f>SUMIFS('TRANSAKSI'!$I$10:$I$1000,'TRANSAKSI'!$E$10:$E$1000,"4.1.12.01",'TRANSAKSI'!$J$10:$J$1000,2,'TRANSAKSI'!$K$10:$K$1000,TahunSel)-SUMIFS('TRANSAKSI'!$H$10:$H$1000,'TRANSAKSI'!$E$10:$E$1000,"4.1.12.01",'TRANSAKSI'!$J$10:$J$1000,2,'TRANSAKSI'!$K$10:$K$1000,TahunSel)</f>
        <v/>
      </c>
      <c r="F17" s="9">
        <f>SUMIFS('TRANSAKSI'!$I$10:$I$1000,'TRANSAKSI'!$E$10:$E$1000,"4.1.12.01",'TRANSAKSI'!$J$10:$J$1000,3,'TRANSAKSI'!$K$10:$K$1000,TahunSel)-SUMIFS('TRANSAKSI'!$H$10:$H$1000,'TRANSAKSI'!$E$10:$E$1000,"4.1.12.01",'TRANSAKSI'!$J$10:$J$1000,3,'TRANSAKSI'!$K$10:$K$1000,TahunSel)</f>
        <v/>
      </c>
      <c r="G17" s="9">
        <f>SUMIFS('TRANSAKSI'!$I$10:$I$1000,'TRANSAKSI'!$E$10:$E$1000,"4.1.12.01",'TRANSAKSI'!$J$10:$J$1000,4,'TRANSAKSI'!$K$10:$K$1000,TahunSel)-SUMIFS('TRANSAKSI'!$H$10:$H$1000,'TRANSAKSI'!$E$10:$E$1000,"4.1.12.01",'TRANSAKSI'!$J$10:$J$1000,4,'TRANSAKSI'!$K$10:$K$1000,TahunSel)</f>
        <v/>
      </c>
      <c r="H17" s="9">
        <f>SUMIFS('TRANSAKSI'!$I$10:$I$1000,'TRANSAKSI'!$E$10:$E$1000,"4.1.12.01",'TRANSAKSI'!$J$10:$J$1000,5,'TRANSAKSI'!$K$10:$K$1000,TahunSel)-SUMIFS('TRANSAKSI'!$H$10:$H$1000,'TRANSAKSI'!$E$10:$E$1000,"4.1.12.01",'TRANSAKSI'!$J$10:$J$1000,5,'TRANSAKSI'!$K$10:$K$1000,TahunSel)</f>
        <v/>
      </c>
      <c r="I17" s="9">
        <f>SUMIFS('TRANSAKSI'!$I$10:$I$1000,'TRANSAKSI'!$E$10:$E$1000,"4.1.12.01",'TRANSAKSI'!$J$10:$J$1000,6,'TRANSAKSI'!$K$10:$K$1000,TahunSel)-SUMIFS('TRANSAKSI'!$H$10:$H$1000,'TRANSAKSI'!$E$10:$E$1000,"4.1.12.01",'TRANSAKSI'!$J$10:$J$1000,6,'TRANSAKSI'!$K$10:$K$1000,TahunSel)</f>
        <v/>
      </c>
      <c r="J17" s="9">
        <f>SUMIFS('TRANSAKSI'!$I$10:$I$1000,'TRANSAKSI'!$E$10:$E$1000,"4.1.12.01",'TRANSAKSI'!$J$10:$J$1000,7,'TRANSAKSI'!$K$10:$K$1000,TahunSel)-SUMIFS('TRANSAKSI'!$H$10:$H$1000,'TRANSAKSI'!$E$10:$E$1000,"4.1.12.01",'TRANSAKSI'!$J$10:$J$1000,7,'TRANSAKSI'!$K$10:$K$1000,TahunSel)</f>
        <v/>
      </c>
      <c r="K17" s="9">
        <f>SUMIFS('TRANSAKSI'!$I$10:$I$1000,'TRANSAKSI'!$E$10:$E$1000,"4.1.12.01",'TRANSAKSI'!$J$10:$J$1000,8,'TRANSAKSI'!$K$10:$K$1000,TahunSel)-SUMIFS('TRANSAKSI'!$H$10:$H$1000,'TRANSAKSI'!$E$10:$E$1000,"4.1.12.01",'TRANSAKSI'!$J$10:$J$1000,8,'TRANSAKSI'!$K$10:$K$1000,TahunSel)</f>
        <v/>
      </c>
      <c r="L17" s="9">
        <f>SUMIFS('TRANSAKSI'!$I$10:$I$1000,'TRANSAKSI'!$E$10:$E$1000,"4.1.12.01",'TRANSAKSI'!$J$10:$J$1000,9,'TRANSAKSI'!$K$10:$K$1000,TahunSel)-SUMIFS('TRANSAKSI'!$H$10:$H$1000,'TRANSAKSI'!$E$10:$E$1000,"4.1.12.01",'TRANSAKSI'!$J$10:$J$1000,9,'TRANSAKSI'!$K$10:$K$1000,TahunSel)</f>
        <v/>
      </c>
      <c r="M17" s="9">
        <f>SUMIFS('TRANSAKSI'!$I$10:$I$1000,'TRANSAKSI'!$E$10:$E$1000,"4.1.12.01",'TRANSAKSI'!$J$10:$J$1000,10,'TRANSAKSI'!$K$10:$K$1000,TahunSel)-SUMIFS('TRANSAKSI'!$H$10:$H$1000,'TRANSAKSI'!$E$10:$E$1000,"4.1.12.01",'TRANSAKSI'!$J$10:$J$1000,10,'TRANSAKSI'!$K$10:$K$1000,TahunSel)</f>
        <v/>
      </c>
      <c r="N17" s="9">
        <f>SUMIFS('TRANSAKSI'!$I$10:$I$1000,'TRANSAKSI'!$E$10:$E$1000,"4.1.12.01",'TRANSAKSI'!$J$10:$J$1000,11,'TRANSAKSI'!$K$10:$K$1000,TahunSel)-SUMIFS('TRANSAKSI'!$H$10:$H$1000,'TRANSAKSI'!$E$10:$E$1000,"4.1.12.01",'TRANSAKSI'!$J$10:$J$1000,11,'TRANSAKSI'!$K$10:$K$1000,TahunSel)</f>
        <v/>
      </c>
      <c r="O17" s="9">
        <f>SUMIFS('TRANSAKSI'!$I$10:$I$1000,'TRANSAKSI'!$E$10:$E$1000,"4.1.12.01",'TRANSAKSI'!$J$10:$J$1000,12,'TRANSAKSI'!$K$10:$K$1000,TahunSel)-SUMIFS('TRANSAKSI'!$H$10:$H$1000,'TRANSAKSI'!$E$10:$E$1000,"4.1.12.01",'TRANSAKSI'!$J$10:$J$1000,12,'TRANSAKSI'!$K$10:$K$1000,TahunSel)</f>
        <v/>
      </c>
      <c r="P17" s="9">
        <f>SUM(D17:O17)</f>
        <v/>
      </c>
    </row>
    <row r="18">
      <c r="A18" s="16" t="inlineStr">
        <is>
          <t>4.1.12.02</t>
        </is>
      </c>
      <c r="B18" s="15" t="inlineStr">
        <is>
          <t>Pendapatan Penjualan Padi</t>
        </is>
      </c>
      <c r="C18" s="15" t="inlineStr">
        <is>
          <t>Pendapatan</t>
        </is>
      </c>
      <c r="D18" s="17">
        <f>SUMIFS('TRANSAKSI'!$I$10:$I$1000,'TRANSAKSI'!$E$10:$E$1000,"4.1.12.02",'TRANSAKSI'!$J$10:$J$1000,1,'TRANSAKSI'!$K$10:$K$1000,TahunSel)-SUMIFS('TRANSAKSI'!$H$10:$H$1000,'TRANSAKSI'!$E$10:$E$1000,"4.1.12.02",'TRANSAKSI'!$J$10:$J$1000,1,'TRANSAKSI'!$K$10:$K$1000,TahunSel)</f>
        <v/>
      </c>
      <c r="E18" s="17">
        <f>SUMIFS('TRANSAKSI'!$I$10:$I$1000,'TRANSAKSI'!$E$10:$E$1000,"4.1.12.02",'TRANSAKSI'!$J$10:$J$1000,2,'TRANSAKSI'!$K$10:$K$1000,TahunSel)-SUMIFS('TRANSAKSI'!$H$10:$H$1000,'TRANSAKSI'!$E$10:$E$1000,"4.1.12.02",'TRANSAKSI'!$J$10:$J$1000,2,'TRANSAKSI'!$K$10:$K$1000,TahunSel)</f>
        <v/>
      </c>
      <c r="F18" s="17">
        <f>SUMIFS('TRANSAKSI'!$I$10:$I$1000,'TRANSAKSI'!$E$10:$E$1000,"4.1.12.02",'TRANSAKSI'!$J$10:$J$1000,3,'TRANSAKSI'!$K$10:$K$1000,TahunSel)-SUMIFS('TRANSAKSI'!$H$10:$H$1000,'TRANSAKSI'!$E$10:$E$1000,"4.1.12.02",'TRANSAKSI'!$J$10:$J$1000,3,'TRANSAKSI'!$K$10:$K$1000,TahunSel)</f>
        <v/>
      </c>
      <c r="G18" s="17">
        <f>SUMIFS('TRANSAKSI'!$I$10:$I$1000,'TRANSAKSI'!$E$10:$E$1000,"4.1.12.02",'TRANSAKSI'!$J$10:$J$1000,4,'TRANSAKSI'!$K$10:$K$1000,TahunSel)-SUMIFS('TRANSAKSI'!$H$10:$H$1000,'TRANSAKSI'!$E$10:$E$1000,"4.1.12.02",'TRANSAKSI'!$J$10:$J$1000,4,'TRANSAKSI'!$K$10:$K$1000,TahunSel)</f>
        <v/>
      </c>
      <c r="H18" s="17">
        <f>SUMIFS('TRANSAKSI'!$I$10:$I$1000,'TRANSAKSI'!$E$10:$E$1000,"4.1.12.02",'TRANSAKSI'!$J$10:$J$1000,5,'TRANSAKSI'!$K$10:$K$1000,TahunSel)-SUMIFS('TRANSAKSI'!$H$10:$H$1000,'TRANSAKSI'!$E$10:$E$1000,"4.1.12.02",'TRANSAKSI'!$J$10:$J$1000,5,'TRANSAKSI'!$K$10:$K$1000,TahunSel)</f>
        <v/>
      </c>
      <c r="I18" s="17">
        <f>SUMIFS('TRANSAKSI'!$I$10:$I$1000,'TRANSAKSI'!$E$10:$E$1000,"4.1.12.02",'TRANSAKSI'!$J$10:$J$1000,6,'TRANSAKSI'!$K$10:$K$1000,TahunSel)-SUMIFS('TRANSAKSI'!$H$10:$H$1000,'TRANSAKSI'!$E$10:$E$1000,"4.1.12.02",'TRANSAKSI'!$J$10:$J$1000,6,'TRANSAKSI'!$K$10:$K$1000,TahunSel)</f>
        <v/>
      </c>
      <c r="J18" s="17">
        <f>SUMIFS('TRANSAKSI'!$I$10:$I$1000,'TRANSAKSI'!$E$10:$E$1000,"4.1.12.02",'TRANSAKSI'!$J$10:$J$1000,7,'TRANSAKSI'!$K$10:$K$1000,TahunSel)-SUMIFS('TRANSAKSI'!$H$10:$H$1000,'TRANSAKSI'!$E$10:$E$1000,"4.1.12.02",'TRANSAKSI'!$J$10:$J$1000,7,'TRANSAKSI'!$K$10:$K$1000,TahunSel)</f>
        <v/>
      </c>
      <c r="K18" s="17">
        <f>SUMIFS('TRANSAKSI'!$I$10:$I$1000,'TRANSAKSI'!$E$10:$E$1000,"4.1.12.02",'TRANSAKSI'!$J$10:$J$1000,8,'TRANSAKSI'!$K$10:$K$1000,TahunSel)-SUMIFS('TRANSAKSI'!$H$10:$H$1000,'TRANSAKSI'!$E$10:$E$1000,"4.1.12.02",'TRANSAKSI'!$J$10:$J$1000,8,'TRANSAKSI'!$K$10:$K$1000,TahunSel)</f>
        <v/>
      </c>
      <c r="L18" s="17">
        <f>SUMIFS('TRANSAKSI'!$I$10:$I$1000,'TRANSAKSI'!$E$10:$E$1000,"4.1.12.02",'TRANSAKSI'!$J$10:$J$1000,9,'TRANSAKSI'!$K$10:$K$1000,TahunSel)-SUMIFS('TRANSAKSI'!$H$10:$H$1000,'TRANSAKSI'!$E$10:$E$1000,"4.1.12.02",'TRANSAKSI'!$J$10:$J$1000,9,'TRANSAKSI'!$K$10:$K$1000,TahunSel)</f>
        <v/>
      </c>
      <c r="M18" s="17">
        <f>SUMIFS('TRANSAKSI'!$I$10:$I$1000,'TRANSAKSI'!$E$10:$E$1000,"4.1.12.02",'TRANSAKSI'!$J$10:$J$1000,10,'TRANSAKSI'!$K$10:$K$1000,TahunSel)-SUMIFS('TRANSAKSI'!$H$10:$H$1000,'TRANSAKSI'!$E$10:$E$1000,"4.1.12.02",'TRANSAKSI'!$J$10:$J$1000,10,'TRANSAKSI'!$K$10:$K$1000,TahunSel)</f>
        <v/>
      </c>
      <c r="N18" s="17">
        <f>SUMIFS('TRANSAKSI'!$I$10:$I$1000,'TRANSAKSI'!$E$10:$E$1000,"4.1.12.02",'TRANSAKSI'!$J$10:$J$1000,11,'TRANSAKSI'!$K$10:$K$1000,TahunSel)-SUMIFS('TRANSAKSI'!$H$10:$H$1000,'TRANSAKSI'!$E$10:$E$1000,"4.1.12.02",'TRANSAKSI'!$J$10:$J$1000,11,'TRANSAKSI'!$K$10:$K$1000,TahunSel)</f>
        <v/>
      </c>
      <c r="O18" s="17">
        <f>SUMIFS('TRANSAKSI'!$I$10:$I$1000,'TRANSAKSI'!$E$10:$E$1000,"4.1.12.02",'TRANSAKSI'!$J$10:$J$1000,12,'TRANSAKSI'!$K$10:$K$1000,TahunSel)-SUMIFS('TRANSAKSI'!$H$10:$H$1000,'TRANSAKSI'!$E$10:$E$1000,"4.1.12.02",'TRANSAKSI'!$J$10:$J$1000,12,'TRANSAKSI'!$K$10:$K$1000,TahunSel)</f>
        <v/>
      </c>
      <c r="P18" s="17">
        <f>SUM(D18:O18)</f>
        <v/>
      </c>
    </row>
    <row r="19">
      <c r="A19" s="20" t="inlineStr">
        <is>
          <t>4.1.13.05</t>
        </is>
      </c>
      <c r="B19" s="4" t="inlineStr">
        <is>
          <t>Pendapatan Penjualan Telur Ayam</t>
        </is>
      </c>
      <c r="C19" s="4" t="inlineStr">
        <is>
          <t>Pendapatan</t>
        </is>
      </c>
      <c r="D19" s="9">
        <f>SUMIFS('TRANSAKSI'!$I$10:$I$1000,'TRANSAKSI'!$E$10:$E$1000,"4.1.13.05",'TRANSAKSI'!$J$10:$J$1000,1,'TRANSAKSI'!$K$10:$K$1000,TahunSel)-SUMIFS('TRANSAKSI'!$H$10:$H$1000,'TRANSAKSI'!$E$10:$E$1000,"4.1.13.05",'TRANSAKSI'!$J$10:$J$1000,1,'TRANSAKSI'!$K$10:$K$1000,TahunSel)</f>
        <v/>
      </c>
      <c r="E19" s="9">
        <f>SUMIFS('TRANSAKSI'!$I$10:$I$1000,'TRANSAKSI'!$E$10:$E$1000,"4.1.13.05",'TRANSAKSI'!$J$10:$J$1000,2,'TRANSAKSI'!$K$10:$K$1000,TahunSel)-SUMIFS('TRANSAKSI'!$H$10:$H$1000,'TRANSAKSI'!$E$10:$E$1000,"4.1.13.05",'TRANSAKSI'!$J$10:$J$1000,2,'TRANSAKSI'!$K$10:$K$1000,TahunSel)</f>
        <v/>
      </c>
      <c r="F19" s="9">
        <f>SUMIFS('TRANSAKSI'!$I$10:$I$1000,'TRANSAKSI'!$E$10:$E$1000,"4.1.13.05",'TRANSAKSI'!$J$10:$J$1000,3,'TRANSAKSI'!$K$10:$K$1000,TahunSel)-SUMIFS('TRANSAKSI'!$H$10:$H$1000,'TRANSAKSI'!$E$10:$E$1000,"4.1.13.05",'TRANSAKSI'!$J$10:$J$1000,3,'TRANSAKSI'!$K$10:$K$1000,TahunSel)</f>
        <v/>
      </c>
      <c r="G19" s="9">
        <f>SUMIFS('TRANSAKSI'!$I$10:$I$1000,'TRANSAKSI'!$E$10:$E$1000,"4.1.13.05",'TRANSAKSI'!$J$10:$J$1000,4,'TRANSAKSI'!$K$10:$K$1000,TahunSel)-SUMIFS('TRANSAKSI'!$H$10:$H$1000,'TRANSAKSI'!$E$10:$E$1000,"4.1.13.05",'TRANSAKSI'!$J$10:$J$1000,4,'TRANSAKSI'!$K$10:$K$1000,TahunSel)</f>
        <v/>
      </c>
      <c r="H19" s="9">
        <f>SUMIFS('TRANSAKSI'!$I$10:$I$1000,'TRANSAKSI'!$E$10:$E$1000,"4.1.13.05",'TRANSAKSI'!$J$10:$J$1000,5,'TRANSAKSI'!$K$10:$K$1000,TahunSel)-SUMIFS('TRANSAKSI'!$H$10:$H$1000,'TRANSAKSI'!$E$10:$E$1000,"4.1.13.05",'TRANSAKSI'!$J$10:$J$1000,5,'TRANSAKSI'!$K$10:$K$1000,TahunSel)</f>
        <v/>
      </c>
      <c r="I19" s="9">
        <f>SUMIFS('TRANSAKSI'!$I$10:$I$1000,'TRANSAKSI'!$E$10:$E$1000,"4.1.13.05",'TRANSAKSI'!$J$10:$J$1000,6,'TRANSAKSI'!$K$10:$K$1000,TahunSel)-SUMIFS('TRANSAKSI'!$H$10:$H$1000,'TRANSAKSI'!$E$10:$E$1000,"4.1.13.05",'TRANSAKSI'!$J$10:$J$1000,6,'TRANSAKSI'!$K$10:$K$1000,TahunSel)</f>
        <v/>
      </c>
      <c r="J19" s="9">
        <f>SUMIFS('TRANSAKSI'!$I$10:$I$1000,'TRANSAKSI'!$E$10:$E$1000,"4.1.13.05",'TRANSAKSI'!$J$10:$J$1000,7,'TRANSAKSI'!$K$10:$K$1000,TahunSel)-SUMIFS('TRANSAKSI'!$H$10:$H$1000,'TRANSAKSI'!$E$10:$E$1000,"4.1.13.05",'TRANSAKSI'!$J$10:$J$1000,7,'TRANSAKSI'!$K$10:$K$1000,TahunSel)</f>
        <v/>
      </c>
      <c r="K19" s="9">
        <f>SUMIFS('TRANSAKSI'!$I$10:$I$1000,'TRANSAKSI'!$E$10:$E$1000,"4.1.13.05",'TRANSAKSI'!$J$10:$J$1000,8,'TRANSAKSI'!$K$10:$K$1000,TahunSel)-SUMIFS('TRANSAKSI'!$H$10:$H$1000,'TRANSAKSI'!$E$10:$E$1000,"4.1.13.05",'TRANSAKSI'!$J$10:$J$1000,8,'TRANSAKSI'!$K$10:$K$1000,TahunSel)</f>
        <v/>
      </c>
      <c r="L19" s="9">
        <f>SUMIFS('TRANSAKSI'!$I$10:$I$1000,'TRANSAKSI'!$E$10:$E$1000,"4.1.13.05",'TRANSAKSI'!$J$10:$J$1000,9,'TRANSAKSI'!$K$10:$K$1000,TahunSel)-SUMIFS('TRANSAKSI'!$H$10:$H$1000,'TRANSAKSI'!$E$10:$E$1000,"4.1.13.05",'TRANSAKSI'!$J$10:$J$1000,9,'TRANSAKSI'!$K$10:$K$1000,TahunSel)</f>
        <v/>
      </c>
      <c r="M19" s="9">
        <f>SUMIFS('TRANSAKSI'!$I$10:$I$1000,'TRANSAKSI'!$E$10:$E$1000,"4.1.13.05",'TRANSAKSI'!$J$10:$J$1000,10,'TRANSAKSI'!$K$10:$K$1000,TahunSel)-SUMIFS('TRANSAKSI'!$H$10:$H$1000,'TRANSAKSI'!$E$10:$E$1000,"4.1.13.05",'TRANSAKSI'!$J$10:$J$1000,10,'TRANSAKSI'!$K$10:$K$1000,TahunSel)</f>
        <v/>
      </c>
      <c r="N19" s="9">
        <f>SUMIFS('TRANSAKSI'!$I$10:$I$1000,'TRANSAKSI'!$E$10:$E$1000,"4.1.13.05",'TRANSAKSI'!$J$10:$J$1000,11,'TRANSAKSI'!$K$10:$K$1000,TahunSel)-SUMIFS('TRANSAKSI'!$H$10:$H$1000,'TRANSAKSI'!$E$10:$E$1000,"4.1.13.05",'TRANSAKSI'!$J$10:$J$1000,11,'TRANSAKSI'!$K$10:$K$1000,TahunSel)</f>
        <v/>
      </c>
      <c r="O19" s="9">
        <f>SUMIFS('TRANSAKSI'!$I$10:$I$1000,'TRANSAKSI'!$E$10:$E$1000,"4.1.13.05",'TRANSAKSI'!$J$10:$J$1000,12,'TRANSAKSI'!$K$10:$K$1000,TahunSel)-SUMIFS('TRANSAKSI'!$H$10:$H$1000,'TRANSAKSI'!$E$10:$E$1000,"4.1.13.05",'TRANSAKSI'!$J$10:$J$1000,12,'TRANSAKSI'!$K$10:$K$1000,TahunSel)</f>
        <v/>
      </c>
      <c r="P19" s="9">
        <f>SUM(D19:O19)</f>
        <v/>
      </c>
    </row>
    <row r="20">
      <c r="A20" s="16" t="inlineStr">
        <is>
          <t>4.1.14.01</t>
        </is>
      </c>
      <c r="B20" s="15" t="inlineStr">
        <is>
          <t>Pendapatan Penjualan Lele</t>
        </is>
      </c>
      <c r="C20" s="15" t="inlineStr">
        <is>
          <t>Pendapatan</t>
        </is>
      </c>
      <c r="D20" s="17">
        <f>SUMIFS('TRANSAKSI'!$I$10:$I$1000,'TRANSAKSI'!$E$10:$E$1000,"4.1.14.01",'TRANSAKSI'!$J$10:$J$1000,1,'TRANSAKSI'!$K$10:$K$1000,TahunSel)-SUMIFS('TRANSAKSI'!$H$10:$H$1000,'TRANSAKSI'!$E$10:$E$1000,"4.1.14.01",'TRANSAKSI'!$J$10:$J$1000,1,'TRANSAKSI'!$K$10:$K$1000,TahunSel)</f>
        <v/>
      </c>
      <c r="E20" s="17">
        <f>SUMIFS('TRANSAKSI'!$I$10:$I$1000,'TRANSAKSI'!$E$10:$E$1000,"4.1.14.01",'TRANSAKSI'!$J$10:$J$1000,2,'TRANSAKSI'!$K$10:$K$1000,TahunSel)-SUMIFS('TRANSAKSI'!$H$10:$H$1000,'TRANSAKSI'!$E$10:$E$1000,"4.1.14.01",'TRANSAKSI'!$J$10:$J$1000,2,'TRANSAKSI'!$K$10:$K$1000,TahunSel)</f>
        <v/>
      </c>
      <c r="F20" s="17">
        <f>SUMIFS('TRANSAKSI'!$I$10:$I$1000,'TRANSAKSI'!$E$10:$E$1000,"4.1.14.01",'TRANSAKSI'!$J$10:$J$1000,3,'TRANSAKSI'!$K$10:$K$1000,TahunSel)-SUMIFS('TRANSAKSI'!$H$10:$H$1000,'TRANSAKSI'!$E$10:$E$1000,"4.1.14.01",'TRANSAKSI'!$J$10:$J$1000,3,'TRANSAKSI'!$K$10:$K$1000,TahunSel)</f>
        <v/>
      </c>
      <c r="G20" s="17">
        <f>SUMIFS('TRANSAKSI'!$I$10:$I$1000,'TRANSAKSI'!$E$10:$E$1000,"4.1.14.01",'TRANSAKSI'!$J$10:$J$1000,4,'TRANSAKSI'!$K$10:$K$1000,TahunSel)-SUMIFS('TRANSAKSI'!$H$10:$H$1000,'TRANSAKSI'!$E$10:$E$1000,"4.1.14.01",'TRANSAKSI'!$J$10:$J$1000,4,'TRANSAKSI'!$K$10:$K$1000,TahunSel)</f>
        <v/>
      </c>
      <c r="H20" s="17">
        <f>SUMIFS('TRANSAKSI'!$I$10:$I$1000,'TRANSAKSI'!$E$10:$E$1000,"4.1.14.01",'TRANSAKSI'!$J$10:$J$1000,5,'TRANSAKSI'!$K$10:$K$1000,TahunSel)-SUMIFS('TRANSAKSI'!$H$10:$H$1000,'TRANSAKSI'!$E$10:$E$1000,"4.1.14.01",'TRANSAKSI'!$J$10:$J$1000,5,'TRANSAKSI'!$K$10:$K$1000,TahunSel)</f>
        <v/>
      </c>
      <c r="I20" s="17">
        <f>SUMIFS('TRANSAKSI'!$I$10:$I$1000,'TRANSAKSI'!$E$10:$E$1000,"4.1.14.01",'TRANSAKSI'!$J$10:$J$1000,6,'TRANSAKSI'!$K$10:$K$1000,TahunSel)-SUMIFS('TRANSAKSI'!$H$10:$H$1000,'TRANSAKSI'!$E$10:$E$1000,"4.1.14.01",'TRANSAKSI'!$J$10:$J$1000,6,'TRANSAKSI'!$K$10:$K$1000,TahunSel)</f>
        <v/>
      </c>
      <c r="J20" s="17">
        <f>SUMIFS('TRANSAKSI'!$I$10:$I$1000,'TRANSAKSI'!$E$10:$E$1000,"4.1.14.01",'TRANSAKSI'!$J$10:$J$1000,7,'TRANSAKSI'!$K$10:$K$1000,TahunSel)-SUMIFS('TRANSAKSI'!$H$10:$H$1000,'TRANSAKSI'!$E$10:$E$1000,"4.1.14.01",'TRANSAKSI'!$J$10:$J$1000,7,'TRANSAKSI'!$K$10:$K$1000,TahunSel)</f>
        <v/>
      </c>
      <c r="K20" s="17">
        <f>SUMIFS('TRANSAKSI'!$I$10:$I$1000,'TRANSAKSI'!$E$10:$E$1000,"4.1.14.01",'TRANSAKSI'!$J$10:$J$1000,8,'TRANSAKSI'!$K$10:$K$1000,TahunSel)-SUMIFS('TRANSAKSI'!$H$10:$H$1000,'TRANSAKSI'!$E$10:$E$1000,"4.1.14.01",'TRANSAKSI'!$J$10:$J$1000,8,'TRANSAKSI'!$K$10:$K$1000,TahunSel)</f>
        <v/>
      </c>
      <c r="L20" s="17">
        <f>SUMIFS('TRANSAKSI'!$I$10:$I$1000,'TRANSAKSI'!$E$10:$E$1000,"4.1.14.01",'TRANSAKSI'!$J$10:$J$1000,9,'TRANSAKSI'!$K$10:$K$1000,TahunSel)-SUMIFS('TRANSAKSI'!$H$10:$H$1000,'TRANSAKSI'!$E$10:$E$1000,"4.1.14.01",'TRANSAKSI'!$J$10:$J$1000,9,'TRANSAKSI'!$K$10:$K$1000,TahunSel)</f>
        <v/>
      </c>
      <c r="M20" s="17">
        <f>SUMIFS('TRANSAKSI'!$I$10:$I$1000,'TRANSAKSI'!$E$10:$E$1000,"4.1.14.01",'TRANSAKSI'!$J$10:$J$1000,10,'TRANSAKSI'!$K$10:$K$1000,TahunSel)-SUMIFS('TRANSAKSI'!$H$10:$H$1000,'TRANSAKSI'!$E$10:$E$1000,"4.1.14.01",'TRANSAKSI'!$J$10:$J$1000,10,'TRANSAKSI'!$K$10:$K$1000,TahunSel)</f>
        <v/>
      </c>
      <c r="N20" s="17">
        <f>SUMIFS('TRANSAKSI'!$I$10:$I$1000,'TRANSAKSI'!$E$10:$E$1000,"4.1.14.01",'TRANSAKSI'!$J$10:$J$1000,11,'TRANSAKSI'!$K$10:$K$1000,TahunSel)-SUMIFS('TRANSAKSI'!$H$10:$H$1000,'TRANSAKSI'!$E$10:$E$1000,"4.1.14.01",'TRANSAKSI'!$J$10:$J$1000,11,'TRANSAKSI'!$K$10:$K$1000,TahunSel)</f>
        <v/>
      </c>
      <c r="O20" s="17">
        <f>SUMIFS('TRANSAKSI'!$I$10:$I$1000,'TRANSAKSI'!$E$10:$E$1000,"4.1.14.01",'TRANSAKSI'!$J$10:$J$1000,12,'TRANSAKSI'!$K$10:$K$1000,TahunSel)-SUMIFS('TRANSAKSI'!$H$10:$H$1000,'TRANSAKSI'!$E$10:$E$1000,"4.1.14.01",'TRANSAKSI'!$J$10:$J$1000,12,'TRANSAKSI'!$K$10:$K$1000,TahunSel)</f>
        <v/>
      </c>
      <c r="P20" s="17">
        <f>SUM(D20:O20)</f>
        <v/>
      </c>
    </row>
    <row r="21">
      <c r="A21" s="6" t="n"/>
      <c r="B21" s="6" t="inlineStr">
        <is>
          <t>Total Pendapatan</t>
        </is>
      </c>
      <c r="C21" s="6" t="n"/>
      <c r="D21" s="23">
        <f>SUM(D8:D20)</f>
        <v/>
      </c>
      <c r="E21" s="23">
        <f>SUM(E8:E20)</f>
        <v/>
      </c>
      <c r="F21" s="23">
        <f>SUM(F8:F20)</f>
        <v/>
      </c>
      <c r="G21" s="23">
        <f>SUM(G8:G20)</f>
        <v/>
      </c>
      <c r="H21" s="23">
        <f>SUM(H8:H20)</f>
        <v/>
      </c>
      <c r="I21" s="23">
        <f>SUM(I8:I20)</f>
        <v/>
      </c>
      <c r="J21" s="23">
        <f>SUM(J8:J20)</f>
        <v/>
      </c>
      <c r="K21" s="23">
        <f>SUM(K8:K20)</f>
        <v/>
      </c>
      <c r="L21" s="23">
        <f>SUM(L8:L20)</f>
        <v/>
      </c>
      <c r="M21" s="23">
        <f>SUM(M8:M20)</f>
        <v/>
      </c>
      <c r="N21" s="23">
        <f>SUM(N8:N20)</f>
        <v/>
      </c>
      <c r="O21" s="23">
        <f>SUM(O8:O20)</f>
        <v/>
      </c>
      <c r="P21" s="23">
        <f>SUM(P8:P20)</f>
        <v/>
      </c>
    </row>
    <row r="23">
      <c r="A23" s="21" t="inlineStr">
        <is>
          <t>BEBAN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</row>
    <row r="24">
      <c r="A24" s="16" t="inlineStr">
        <is>
          <t>6.1.02.01</t>
        </is>
      </c>
      <c r="B24" s="15" t="inlineStr">
        <is>
          <t>Beban Alat Tulis Kantor (ATK)</t>
        </is>
      </c>
      <c r="C24" s="15" t="inlineStr">
        <is>
          <t>Beban</t>
        </is>
      </c>
      <c r="D24" s="17">
        <f>SUMIFS('TRANSAKSI'!$H$10:$H$1000,'TRANSAKSI'!$E$10:$E$1000,"6.1.02.01",'TRANSAKSI'!$J$10:$J$1000,1,'TRANSAKSI'!$K$10:$K$1000,TahunSel)-SUMIFS('TRANSAKSI'!$I$10:$I$1000,'TRANSAKSI'!$E$10:$E$1000,"6.1.02.01",'TRANSAKSI'!$J$10:$J$1000,1,'TRANSAKSI'!$K$10:$K$1000,TahunSel)</f>
        <v/>
      </c>
      <c r="E24" s="17">
        <f>SUMIFS('TRANSAKSI'!$H$10:$H$1000,'TRANSAKSI'!$E$10:$E$1000,"6.1.02.01",'TRANSAKSI'!$J$10:$J$1000,2,'TRANSAKSI'!$K$10:$K$1000,TahunSel)-SUMIFS('TRANSAKSI'!$I$10:$I$1000,'TRANSAKSI'!$E$10:$E$1000,"6.1.02.01",'TRANSAKSI'!$J$10:$J$1000,2,'TRANSAKSI'!$K$10:$K$1000,TahunSel)</f>
        <v/>
      </c>
      <c r="F24" s="17">
        <f>SUMIFS('TRANSAKSI'!$H$10:$H$1000,'TRANSAKSI'!$E$10:$E$1000,"6.1.02.01",'TRANSAKSI'!$J$10:$J$1000,3,'TRANSAKSI'!$K$10:$K$1000,TahunSel)-SUMIFS('TRANSAKSI'!$I$10:$I$1000,'TRANSAKSI'!$E$10:$E$1000,"6.1.02.01",'TRANSAKSI'!$J$10:$J$1000,3,'TRANSAKSI'!$K$10:$K$1000,TahunSel)</f>
        <v/>
      </c>
      <c r="G24" s="17">
        <f>SUMIFS('TRANSAKSI'!$H$10:$H$1000,'TRANSAKSI'!$E$10:$E$1000,"6.1.02.01",'TRANSAKSI'!$J$10:$J$1000,4,'TRANSAKSI'!$K$10:$K$1000,TahunSel)-SUMIFS('TRANSAKSI'!$I$10:$I$1000,'TRANSAKSI'!$E$10:$E$1000,"6.1.02.01",'TRANSAKSI'!$J$10:$J$1000,4,'TRANSAKSI'!$K$10:$K$1000,TahunSel)</f>
        <v/>
      </c>
      <c r="H24" s="17">
        <f>SUMIFS('TRANSAKSI'!$H$10:$H$1000,'TRANSAKSI'!$E$10:$E$1000,"6.1.02.01",'TRANSAKSI'!$J$10:$J$1000,5,'TRANSAKSI'!$K$10:$K$1000,TahunSel)-SUMIFS('TRANSAKSI'!$I$10:$I$1000,'TRANSAKSI'!$E$10:$E$1000,"6.1.02.01",'TRANSAKSI'!$J$10:$J$1000,5,'TRANSAKSI'!$K$10:$K$1000,TahunSel)</f>
        <v/>
      </c>
      <c r="I24" s="17">
        <f>SUMIFS('TRANSAKSI'!$H$10:$H$1000,'TRANSAKSI'!$E$10:$E$1000,"6.1.02.01",'TRANSAKSI'!$J$10:$J$1000,6,'TRANSAKSI'!$K$10:$K$1000,TahunSel)-SUMIFS('TRANSAKSI'!$I$10:$I$1000,'TRANSAKSI'!$E$10:$E$1000,"6.1.02.01",'TRANSAKSI'!$J$10:$J$1000,6,'TRANSAKSI'!$K$10:$K$1000,TahunSel)</f>
        <v/>
      </c>
      <c r="J24" s="17">
        <f>SUMIFS('TRANSAKSI'!$H$10:$H$1000,'TRANSAKSI'!$E$10:$E$1000,"6.1.02.01",'TRANSAKSI'!$J$10:$J$1000,7,'TRANSAKSI'!$K$10:$K$1000,TahunSel)-SUMIFS('TRANSAKSI'!$I$10:$I$1000,'TRANSAKSI'!$E$10:$E$1000,"6.1.02.01",'TRANSAKSI'!$J$10:$J$1000,7,'TRANSAKSI'!$K$10:$K$1000,TahunSel)</f>
        <v/>
      </c>
      <c r="K24" s="17">
        <f>SUMIFS('TRANSAKSI'!$H$10:$H$1000,'TRANSAKSI'!$E$10:$E$1000,"6.1.02.01",'TRANSAKSI'!$J$10:$J$1000,8,'TRANSAKSI'!$K$10:$K$1000,TahunSel)-SUMIFS('TRANSAKSI'!$I$10:$I$1000,'TRANSAKSI'!$E$10:$E$1000,"6.1.02.01",'TRANSAKSI'!$J$10:$J$1000,8,'TRANSAKSI'!$K$10:$K$1000,TahunSel)</f>
        <v/>
      </c>
      <c r="L24" s="17">
        <f>SUMIFS('TRANSAKSI'!$H$10:$H$1000,'TRANSAKSI'!$E$10:$E$1000,"6.1.02.01",'TRANSAKSI'!$J$10:$J$1000,9,'TRANSAKSI'!$K$10:$K$1000,TahunSel)-SUMIFS('TRANSAKSI'!$I$10:$I$1000,'TRANSAKSI'!$E$10:$E$1000,"6.1.02.01",'TRANSAKSI'!$J$10:$J$1000,9,'TRANSAKSI'!$K$10:$K$1000,TahunSel)</f>
        <v/>
      </c>
      <c r="M24" s="17">
        <f>SUMIFS('TRANSAKSI'!$H$10:$H$1000,'TRANSAKSI'!$E$10:$E$1000,"6.1.02.01",'TRANSAKSI'!$J$10:$J$1000,10,'TRANSAKSI'!$K$10:$K$1000,TahunSel)-SUMIFS('TRANSAKSI'!$I$10:$I$1000,'TRANSAKSI'!$E$10:$E$1000,"6.1.02.01",'TRANSAKSI'!$J$10:$J$1000,10,'TRANSAKSI'!$K$10:$K$1000,TahunSel)</f>
        <v/>
      </c>
      <c r="N24" s="17">
        <f>SUMIFS('TRANSAKSI'!$H$10:$H$1000,'TRANSAKSI'!$E$10:$E$1000,"6.1.02.01",'TRANSAKSI'!$J$10:$J$1000,11,'TRANSAKSI'!$K$10:$K$1000,TahunSel)-SUMIFS('TRANSAKSI'!$I$10:$I$1000,'TRANSAKSI'!$E$10:$E$1000,"6.1.02.01",'TRANSAKSI'!$J$10:$J$1000,11,'TRANSAKSI'!$K$10:$K$1000,TahunSel)</f>
        <v/>
      </c>
      <c r="O24" s="17">
        <f>SUMIFS('TRANSAKSI'!$H$10:$H$1000,'TRANSAKSI'!$E$10:$E$1000,"6.1.02.01",'TRANSAKSI'!$J$10:$J$1000,12,'TRANSAKSI'!$K$10:$K$1000,TahunSel)-SUMIFS('TRANSAKSI'!$I$10:$I$1000,'TRANSAKSI'!$E$10:$E$1000,"6.1.02.01",'TRANSAKSI'!$J$10:$J$1000,12,'TRANSAKSI'!$K$10:$K$1000,TahunSel)</f>
        <v/>
      </c>
      <c r="P24" s="17">
        <f>SUM(D24:O24)</f>
        <v/>
      </c>
    </row>
    <row r="25">
      <c r="A25" s="20" t="inlineStr">
        <is>
          <t>6.1.02.02</t>
        </is>
      </c>
      <c r="B25" s="4" t="inlineStr">
        <is>
          <t>Beban Foto Copy</t>
        </is>
      </c>
      <c r="C25" s="4" t="inlineStr">
        <is>
          <t>Beban</t>
        </is>
      </c>
      <c r="D25" s="9">
        <f>SUMIFS('TRANSAKSI'!$H$10:$H$1000,'TRANSAKSI'!$E$10:$E$1000,"6.1.02.02",'TRANSAKSI'!$J$10:$J$1000,1,'TRANSAKSI'!$K$10:$K$1000,TahunSel)-SUMIFS('TRANSAKSI'!$I$10:$I$1000,'TRANSAKSI'!$E$10:$E$1000,"6.1.02.02",'TRANSAKSI'!$J$10:$J$1000,1,'TRANSAKSI'!$K$10:$K$1000,TahunSel)</f>
        <v/>
      </c>
      <c r="E25" s="9">
        <f>SUMIFS('TRANSAKSI'!$H$10:$H$1000,'TRANSAKSI'!$E$10:$E$1000,"6.1.02.02",'TRANSAKSI'!$J$10:$J$1000,2,'TRANSAKSI'!$K$10:$K$1000,TahunSel)-SUMIFS('TRANSAKSI'!$I$10:$I$1000,'TRANSAKSI'!$E$10:$E$1000,"6.1.02.02",'TRANSAKSI'!$J$10:$J$1000,2,'TRANSAKSI'!$K$10:$K$1000,TahunSel)</f>
        <v/>
      </c>
      <c r="F25" s="9">
        <f>SUMIFS('TRANSAKSI'!$H$10:$H$1000,'TRANSAKSI'!$E$10:$E$1000,"6.1.02.02",'TRANSAKSI'!$J$10:$J$1000,3,'TRANSAKSI'!$K$10:$K$1000,TahunSel)-SUMIFS('TRANSAKSI'!$I$10:$I$1000,'TRANSAKSI'!$E$10:$E$1000,"6.1.02.02",'TRANSAKSI'!$J$10:$J$1000,3,'TRANSAKSI'!$K$10:$K$1000,TahunSel)</f>
        <v/>
      </c>
      <c r="G25" s="9">
        <f>SUMIFS('TRANSAKSI'!$H$10:$H$1000,'TRANSAKSI'!$E$10:$E$1000,"6.1.02.02",'TRANSAKSI'!$J$10:$J$1000,4,'TRANSAKSI'!$K$10:$K$1000,TahunSel)-SUMIFS('TRANSAKSI'!$I$10:$I$1000,'TRANSAKSI'!$E$10:$E$1000,"6.1.02.02",'TRANSAKSI'!$J$10:$J$1000,4,'TRANSAKSI'!$K$10:$K$1000,TahunSel)</f>
        <v/>
      </c>
      <c r="H25" s="9">
        <f>SUMIFS('TRANSAKSI'!$H$10:$H$1000,'TRANSAKSI'!$E$10:$E$1000,"6.1.02.02",'TRANSAKSI'!$J$10:$J$1000,5,'TRANSAKSI'!$K$10:$K$1000,TahunSel)-SUMIFS('TRANSAKSI'!$I$10:$I$1000,'TRANSAKSI'!$E$10:$E$1000,"6.1.02.02",'TRANSAKSI'!$J$10:$J$1000,5,'TRANSAKSI'!$K$10:$K$1000,TahunSel)</f>
        <v/>
      </c>
      <c r="I25" s="9">
        <f>SUMIFS('TRANSAKSI'!$H$10:$H$1000,'TRANSAKSI'!$E$10:$E$1000,"6.1.02.02",'TRANSAKSI'!$J$10:$J$1000,6,'TRANSAKSI'!$K$10:$K$1000,TahunSel)-SUMIFS('TRANSAKSI'!$I$10:$I$1000,'TRANSAKSI'!$E$10:$E$1000,"6.1.02.02",'TRANSAKSI'!$J$10:$J$1000,6,'TRANSAKSI'!$K$10:$K$1000,TahunSel)</f>
        <v/>
      </c>
      <c r="J25" s="9">
        <f>SUMIFS('TRANSAKSI'!$H$10:$H$1000,'TRANSAKSI'!$E$10:$E$1000,"6.1.02.02",'TRANSAKSI'!$J$10:$J$1000,7,'TRANSAKSI'!$K$10:$K$1000,TahunSel)-SUMIFS('TRANSAKSI'!$I$10:$I$1000,'TRANSAKSI'!$E$10:$E$1000,"6.1.02.02",'TRANSAKSI'!$J$10:$J$1000,7,'TRANSAKSI'!$K$10:$K$1000,TahunSel)</f>
        <v/>
      </c>
      <c r="K25" s="9">
        <f>SUMIFS('TRANSAKSI'!$H$10:$H$1000,'TRANSAKSI'!$E$10:$E$1000,"6.1.02.02",'TRANSAKSI'!$J$10:$J$1000,8,'TRANSAKSI'!$K$10:$K$1000,TahunSel)-SUMIFS('TRANSAKSI'!$I$10:$I$1000,'TRANSAKSI'!$E$10:$E$1000,"6.1.02.02",'TRANSAKSI'!$J$10:$J$1000,8,'TRANSAKSI'!$K$10:$K$1000,TahunSel)</f>
        <v/>
      </c>
      <c r="L25" s="9">
        <f>SUMIFS('TRANSAKSI'!$H$10:$H$1000,'TRANSAKSI'!$E$10:$E$1000,"6.1.02.02",'TRANSAKSI'!$J$10:$J$1000,9,'TRANSAKSI'!$K$10:$K$1000,TahunSel)-SUMIFS('TRANSAKSI'!$I$10:$I$1000,'TRANSAKSI'!$E$10:$E$1000,"6.1.02.02",'TRANSAKSI'!$J$10:$J$1000,9,'TRANSAKSI'!$K$10:$K$1000,TahunSel)</f>
        <v/>
      </c>
      <c r="M25" s="9">
        <f>SUMIFS('TRANSAKSI'!$H$10:$H$1000,'TRANSAKSI'!$E$10:$E$1000,"6.1.02.02",'TRANSAKSI'!$J$10:$J$1000,10,'TRANSAKSI'!$K$10:$K$1000,TahunSel)-SUMIFS('TRANSAKSI'!$I$10:$I$1000,'TRANSAKSI'!$E$10:$E$1000,"6.1.02.02",'TRANSAKSI'!$J$10:$J$1000,10,'TRANSAKSI'!$K$10:$K$1000,TahunSel)</f>
        <v/>
      </c>
      <c r="N25" s="9">
        <f>SUMIFS('TRANSAKSI'!$H$10:$H$1000,'TRANSAKSI'!$E$10:$E$1000,"6.1.02.02",'TRANSAKSI'!$J$10:$J$1000,11,'TRANSAKSI'!$K$10:$K$1000,TahunSel)-SUMIFS('TRANSAKSI'!$I$10:$I$1000,'TRANSAKSI'!$E$10:$E$1000,"6.1.02.02",'TRANSAKSI'!$J$10:$J$1000,11,'TRANSAKSI'!$K$10:$K$1000,TahunSel)</f>
        <v/>
      </c>
      <c r="O25" s="9">
        <f>SUMIFS('TRANSAKSI'!$H$10:$H$1000,'TRANSAKSI'!$E$10:$E$1000,"6.1.02.02",'TRANSAKSI'!$J$10:$J$1000,12,'TRANSAKSI'!$K$10:$K$1000,TahunSel)-SUMIFS('TRANSAKSI'!$I$10:$I$1000,'TRANSAKSI'!$E$10:$E$1000,"6.1.02.02",'TRANSAKSI'!$J$10:$J$1000,12,'TRANSAKSI'!$K$10:$K$1000,TahunSel)</f>
        <v/>
      </c>
      <c r="P25" s="9">
        <f>SUM(D25:O25)</f>
        <v/>
      </c>
    </row>
    <row r="26">
      <c r="A26" s="16" t="inlineStr">
        <is>
          <t>6.1.02.03</t>
        </is>
      </c>
      <c r="B26" s="15" t="inlineStr">
        <is>
          <t>Beban Konsumsi Rapat</t>
        </is>
      </c>
      <c r="C26" s="15" t="inlineStr">
        <is>
          <t>Beban</t>
        </is>
      </c>
      <c r="D26" s="17">
        <f>SUMIFS('TRANSAKSI'!$H$10:$H$1000,'TRANSAKSI'!$E$10:$E$1000,"6.1.02.03",'TRANSAKSI'!$J$10:$J$1000,1,'TRANSAKSI'!$K$10:$K$1000,TahunSel)-SUMIFS('TRANSAKSI'!$I$10:$I$1000,'TRANSAKSI'!$E$10:$E$1000,"6.1.02.03",'TRANSAKSI'!$J$10:$J$1000,1,'TRANSAKSI'!$K$10:$K$1000,TahunSel)</f>
        <v/>
      </c>
      <c r="E26" s="17">
        <f>SUMIFS('TRANSAKSI'!$H$10:$H$1000,'TRANSAKSI'!$E$10:$E$1000,"6.1.02.03",'TRANSAKSI'!$J$10:$J$1000,2,'TRANSAKSI'!$K$10:$K$1000,TahunSel)-SUMIFS('TRANSAKSI'!$I$10:$I$1000,'TRANSAKSI'!$E$10:$E$1000,"6.1.02.03",'TRANSAKSI'!$J$10:$J$1000,2,'TRANSAKSI'!$K$10:$K$1000,TahunSel)</f>
        <v/>
      </c>
      <c r="F26" s="17">
        <f>SUMIFS('TRANSAKSI'!$H$10:$H$1000,'TRANSAKSI'!$E$10:$E$1000,"6.1.02.03",'TRANSAKSI'!$J$10:$J$1000,3,'TRANSAKSI'!$K$10:$K$1000,TahunSel)-SUMIFS('TRANSAKSI'!$I$10:$I$1000,'TRANSAKSI'!$E$10:$E$1000,"6.1.02.03",'TRANSAKSI'!$J$10:$J$1000,3,'TRANSAKSI'!$K$10:$K$1000,TahunSel)</f>
        <v/>
      </c>
      <c r="G26" s="17">
        <f>SUMIFS('TRANSAKSI'!$H$10:$H$1000,'TRANSAKSI'!$E$10:$E$1000,"6.1.02.03",'TRANSAKSI'!$J$10:$J$1000,4,'TRANSAKSI'!$K$10:$K$1000,TahunSel)-SUMIFS('TRANSAKSI'!$I$10:$I$1000,'TRANSAKSI'!$E$10:$E$1000,"6.1.02.03",'TRANSAKSI'!$J$10:$J$1000,4,'TRANSAKSI'!$K$10:$K$1000,TahunSel)</f>
        <v/>
      </c>
      <c r="H26" s="17">
        <f>SUMIFS('TRANSAKSI'!$H$10:$H$1000,'TRANSAKSI'!$E$10:$E$1000,"6.1.02.03",'TRANSAKSI'!$J$10:$J$1000,5,'TRANSAKSI'!$K$10:$K$1000,TahunSel)-SUMIFS('TRANSAKSI'!$I$10:$I$1000,'TRANSAKSI'!$E$10:$E$1000,"6.1.02.03",'TRANSAKSI'!$J$10:$J$1000,5,'TRANSAKSI'!$K$10:$K$1000,TahunSel)</f>
        <v/>
      </c>
      <c r="I26" s="17">
        <f>SUMIFS('TRANSAKSI'!$H$10:$H$1000,'TRANSAKSI'!$E$10:$E$1000,"6.1.02.03",'TRANSAKSI'!$J$10:$J$1000,6,'TRANSAKSI'!$K$10:$K$1000,TahunSel)-SUMIFS('TRANSAKSI'!$I$10:$I$1000,'TRANSAKSI'!$E$10:$E$1000,"6.1.02.03",'TRANSAKSI'!$J$10:$J$1000,6,'TRANSAKSI'!$K$10:$K$1000,TahunSel)</f>
        <v/>
      </c>
      <c r="J26" s="17">
        <f>SUMIFS('TRANSAKSI'!$H$10:$H$1000,'TRANSAKSI'!$E$10:$E$1000,"6.1.02.03",'TRANSAKSI'!$J$10:$J$1000,7,'TRANSAKSI'!$K$10:$K$1000,TahunSel)-SUMIFS('TRANSAKSI'!$I$10:$I$1000,'TRANSAKSI'!$E$10:$E$1000,"6.1.02.03",'TRANSAKSI'!$J$10:$J$1000,7,'TRANSAKSI'!$K$10:$K$1000,TahunSel)</f>
        <v/>
      </c>
      <c r="K26" s="17">
        <f>SUMIFS('TRANSAKSI'!$H$10:$H$1000,'TRANSAKSI'!$E$10:$E$1000,"6.1.02.03",'TRANSAKSI'!$J$10:$J$1000,8,'TRANSAKSI'!$K$10:$K$1000,TahunSel)-SUMIFS('TRANSAKSI'!$I$10:$I$1000,'TRANSAKSI'!$E$10:$E$1000,"6.1.02.03",'TRANSAKSI'!$J$10:$J$1000,8,'TRANSAKSI'!$K$10:$K$1000,TahunSel)</f>
        <v/>
      </c>
      <c r="L26" s="17">
        <f>SUMIFS('TRANSAKSI'!$H$10:$H$1000,'TRANSAKSI'!$E$10:$E$1000,"6.1.02.03",'TRANSAKSI'!$J$10:$J$1000,9,'TRANSAKSI'!$K$10:$K$1000,TahunSel)-SUMIFS('TRANSAKSI'!$I$10:$I$1000,'TRANSAKSI'!$E$10:$E$1000,"6.1.02.03",'TRANSAKSI'!$J$10:$J$1000,9,'TRANSAKSI'!$K$10:$K$1000,TahunSel)</f>
        <v/>
      </c>
      <c r="M26" s="17">
        <f>SUMIFS('TRANSAKSI'!$H$10:$H$1000,'TRANSAKSI'!$E$10:$E$1000,"6.1.02.03",'TRANSAKSI'!$J$10:$J$1000,10,'TRANSAKSI'!$K$10:$K$1000,TahunSel)-SUMIFS('TRANSAKSI'!$I$10:$I$1000,'TRANSAKSI'!$E$10:$E$1000,"6.1.02.03",'TRANSAKSI'!$J$10:$J$1000,10,'TRANSAKSI'!$K$10:$K$1000,TahunSel)</f>
        <v/>
      </c>
      <c r="N26" s="17">
        <f>SUMIFS('TRANSAKSI'!$H$10:$H$1000,'TRANSAKSI'!$E$10:$E$1000,"6.1.02.03",'TRANSAKSI'!$J$10:$J$1000,11,'TRANSAKSI'!$K$10:$K$1000,TahunSel)-SUMIFS('TRANSAKSI'!$I$10:$I$1000,'TRANSAKSI'!$E$10:$E$1000,"6.1.02.03",'TRANSAKSI'!$J$10:$J$1000,11,'TRANSAKSI'!$K$10:$K$1000,TahunSel)</f>
        <v/>
      </c>
      <c r="O26" s="17">
        <f>SUMIFS('TRANSAKSI'!$H$10:$H$1000,'TRANSAKSI'!$E$10:$E$1000,"6.1.02.03",'TRANSAKSI'!$J$10:$J$1000,12,'TRANSAKSI'!$K$10:$K$1000,TahunSel)-SUMIFS('TRANSAKSI'!$I$10:$I$1000,'TRANSAKSI'!$E$10:$E$1000,"6.1.02.03",'TRANSAKSI'!$J$10:$J$1000,12,'TRANSAKSI'!$K$10:$K$1000,TahunSel)</f>
        <v/>
      </c>
      <c r="P26" s="17">
        <f>SUM(D26:O26)</f>
        <v/>
      </c>
    </row>
    <row r="27">
      <c r="A27" s="20" t="inlineStr">
        <is>
          <t>6.1.04.01</t>
        </is>
      </c>
      <c r="B27" s="4" t="inlineStr">
        <is>
          <t>Beban Listrik</t>
        </is>
      </c>
      <c r="C27" s="4" t="inlineStr">
        <is>
          <t>Beban</t>
        </is>
      </c>
      <c r="D27" s="9">
        <f>SUMIFS('TRANSAKSI'!$H$10:$H$1000,'TRANSAKSI'!$E$10:$E$1000,"6.1.04.01",'TRANSAKSI'!$J$10:$J$1000,1,'TRANSAKSI'!$K$10:$K$1000,TahunSel)-SUMIFS('TRANSAKSI'!$I$10:$I$1000,'TRANSAKSI'!$E$10:$E$1000,"6.1.04.01",'TRANSAKSI'!$J$10:$J$1000,1,'TRANSAKSI'!$K$10:$K$1000,TahunSel)</f>
        <v/>
      </c>
      <c r="E27" s="9">
        <f>SUMIFS('TRANSAKSI'!$H$10:$H$1000,'TRANSAKSI'!$E$10:$E$1000,"6.1.04.01",'TRANSAKSI'!$J$10:$J$1000,2,'TRANSAKSI'!$K$10:$K$1000,TahunSel)-SUMIFS('TRANSAKSI'!$I$10:$I$1000,'TRANSAKSI'!$E$10:$E$1000,"6.1.04.01",'TRANSAKSI'!$J$10:$J$1000,2,'TRANSAKSI'!$K$10:$K$1000,TahunSel)</f>
        <v/>
      </c>
      <c r="F27" s="9">
        <f>SUMIFS('TRANSAKSI'!$H$10:$H$1000,'TRANSAKSI'!$E$10:$E$1000,"6.1.04.01",'TRANSAKSI'!$J$10:$J$1000,3,'TRANSAKSI'!$K$10:$K$1000,TahunSel)-SUMIFS('TRANSAKSI'!$I$10:$I$1000,'TRANSAKSI'!$E$10:$E$1000,"6.1.04.01",'TRANSAKSI'!$J$10:$J$1000,3,'TRANSAKSI'!$K$10:$K$1000,TahunSel)</f>
        <v/>
      </c>
      <c r="G27" s="9">
        <f>SUMIFS('TRANSAKSI'!$H$10:$H$1000,'TRANSAKSI'!$E$10:$E$1000,"6.1.04.01",'TRANSAKSI'!$J$10:$J$1000,4,'TRANSAKSI'!$K$10:$K$1000,TahunSel)-SUMIFS('TRANSAKSI'!$I$10:$I$1000,'TRANSAKSI'!$E$10:$E$1000,"6.1.04.01",'TRANSAKSI'!$J$10:$J$1000,4,'TRANSAKSI'!$K$10:$K$1000,TahunSel)</f>
        <v/>
      </c>
      <c r="H27" s="9">
        <f>SUMIFS('TRANSAKSI'!$H$10:$H$1000,'TRANSAKSI'!$E$10:$E$1000,"6.1.04.01",'TRANSAKSI'!$J$10:$J$1000,5,'TRANSAKSI'!$K$10:$K$1000,TahunSel)-SUMIFS('TRANSAKSI'!$I$10:$I$1000,'TRANSAKSI'!$E$10:$E$1000,"6.1.04.01",'TRANSAKSI'!$J$10:$J$1000,5,'TRANSAKSI'!$K$10:$K$1000,TahunSel)</f>
        <v/>
      </c>
      <c r="I27" s="9">
        <f>SUMIFS('TRANSAKSI'!$H$10:$H$1000,'TRANSAKSI'!$E$10:$E$1000,"6.1.04.01",'TRANSAKSI'!$J$10:$J$1000,6,'TRANSAKSI'!$K$10:$K$1000,TahunSel)-SUMIFS('TRANSAKSI'!$I$10:$I$1000,'TRANSAKSI'!$E$10:$E$1000,"6.1.04.01",'TRANSAKSI'!$J$10:$J$1000,6,'TRANSAKSI'!$K$10:$K$1000,TahunSel)</f>
        <v/>
      </c>
      <c r="J27" s="9">
        <f>SUMIFS('TRANSAKSI'!$H$10:$H$1000,'TRANSAKSI'!$E$10:$E$1000,"6.1.04.01",'TRANSAKSI'!$J$10:$J$1000,7,'TRANSAKSI'!$K$10:$K$1000,TahunSel)-SUMIFS('TRANSAKSI'!$I$10:$I$1000,'TRANSAKSI'!$E$10:$E$1000,"6.1.04.01",'TRANSAKSI'!$J$10:$J$1000,7,'TRANSAKSI'!$K$10:$K$1000,TahunSel)</f>
        <v/>
      </c>
      <c r="K27" s="9">
        <f>SUMIFS('TRANSAKSI'!$H$10:$H$1000,'TRANSAKSI'!$E$10:$E$1000,"6.1.04.01",'TRANSAKSI'!$J$10:$J$1000,8,'TRANSAKSI'!$K$10:$K$1000,TahunSel)-SUMIFS('TRANSAKSI'!$I$10:$I$1000,'TRANSAKSI'!$E$10:$E$1000,"6.1.04.01",'TRANSAKSI'!$J$10:$J$1000,8,'TRANSAKSI'!$K$10:$K$1000,TahunSel)</f>
        <v/>
      </c>
      <c r="L27" s="9">
        <f>SUMIFS('TRANSAKSI'!$H$10:$H$1000,'TRANSAKSI'!$E$10:$E$1000,"6.1.04.01",'TRANSAKSI'!$J$10:$J$1000,9,'TRANSAKSI'!$K$10:$K$1000,TahunSel)-SUMIFS('TRANSAKSI'!$I$10:$I$1000,'TRANSAKSI'!$E$10:$E$1000,"6.1.04.01",'TRANSAKSI'!$J$10:$J$1000,9,'TRANSAKSI'!$K$10:$K$1000,TahunSel)</f>
        <v/>
      </c>
      <c r="M27" s="9">
        <f>SUMIFS('TRANSAKSI'!$H$10:$H$1000,'TRANSAKSI'!$E$10:$E$1000,"6.1.04.01",'TRANSAKSI'!$J$10:$J$1000,10,'TRANSAKSI'!$K$10:$K$1000,TahunSel)-SUMIFS('TRANSAKSI'!$I$10:$I$1000,'TRANSAKSI'!$E$10:$E$1000,"6.1.04.01",'TRANSAKSI'!$J$10:$J$1000,10,'TRANSAKSI'!$K$10:$K$1000,TahunSel)</f>
        <v/>
      </c>
      <c r="N27" s="9">
        <f>SUMIFS('TRANSAKSI'!$H$10:$H$1000,'TRANSAKSI'!$E$10:$E$1000,"6.1.04.01",'TRANSAKSI'!$J$10:$J$1000,11,'TRANSAKSI'!$K$10:$K$1000,TahunSel)-SUMIFS('TRANSAKSI'!$I$10:$I$1000,'TRANSAKSI'!$E$10:$E$1000,"6.1.04.01",'TRANSAKSI'!$J$10:$J$1000,11,'TRANSAKSI'!$K$10:$K$1000,TahunSel)</f>
        <v/>
      </c>
      <c r="O27" s="9">
        <f>SUMIFS('TRANSAKSI'!$H$10:$H$1000,'TRANSAKSI'!$E$10:$E$1000,"6.1.04.01",'TRANSAKSI'!$J$10:$J$1000,12,'TRANSAKSI'!$K$10:$K$1000,TahunSel)-SUMIFS('TRANSAKSI'!$I$10:$I$1000,'TRANSAKSI'!$E$10:$E$1000,"6.1.04.01",'TRANSAKSI'!$J$10:$J$1000,12,'TRANSAKSI'!$K$10:$K$1000,TahunSel)</f>
        <v/>
      </c>
      <c r="P27" s="9">
        <f>SUM(D27:O27)</f>
        <v/>
      </c>
    </row>
    <row r="28">
      <c r="A28" s="16" t="inlineStr">
        <is>
          <t>6.1.04.02</t>
        </is>
      </c>
      <c r="B28" s="15" t="inlineStr">
        <is>
          <t>Beban Telepon/Internet</t>
        </is>
      </c>
      <c r="C28" s="15" t="inlineStr">
        <is>
          <t>Beban</t>
        </is>
      </c>
      <c r="D28" s="17">
        <f>SUMIFS('TRANSAKSI'!$H$10:$H$1000,'TRANSAKSI'!$E$10:$E$1000,"6.1.04.02",'TRANSAKSI'!$J$10:$J$1000,1,'TRANSAKSI'!$K$10:$K$1000,TahunSel)-SUMIFS('TRANSAKSI'!$I$10:$I$1000,'TRANSAKSI'!$E$10:$E$1000,"6.1.04.02",'TRANSAKSI'!$J$10:$J$1000,1,'TRANSAKSI'!$K$10:$K$1000,TahunSel)</f>
        <v/>
      </c>
      <c r="E28" s="17">
        <f>SUMIFS('TRANSAKSI'!$H$10:$H$1000,'TRANSAKSI'!$E$10:$E$1000,"6.1.04.02",'TRANSAKSI'!$J$10:$J$1000,2,'TRANSAKSI'!$K$10:$K$1000,TahunSel)-SUMIFS('TRANSAKSI'!$I$10:$I$1000,'TRANSAKSI'!$E$10:$E$1000,"6.1.04.02",'TRANSAKSI'!$J$10:$J$1000,2,'TRANSAKSI'!$K$10:$K$1000,TahunSel)</f>
        <v/>
      </c>
      <c r="F28" s="17">
        <f>SUMIFS('TRANSAKSI'!$H$10:$H$1000,'TRANSAKSI'!$E$10:$E$1000,"6.1.04.02",'TRANSAKSI'!$J$10:$J$1000,3,'TRANSAKSI'!$K$10:$K$1000,TahunSel)-SUMIFS('TRANSAKSI'!$I$10:$I$1000,'TRANSAKSI'!$E$10:$E$1000,"6.1.04.02",'TRANSAKSI'!$J$10:$J$1000,3,'TRANSAKSI'!$K$10:$K$1000,TahunSel)</f>
        <v/>
      </c>
      <c r="G28" s="17">
        <f>SUMIFS('TRANSAKSI'!$H$10:$H$1000,'TRANSAKSI'!$E$10:$E$1000,"6.1.04.02",'TRANSAKSI'!$J$10:$J$1000,4,'TRANSAKSI'!$K$10:$K$1000,TahunSel)-SUMIFS('TRANSAKSI'!$I$10:$I$1000,'TRANSAKSI'!$E$10:$E$1000,"6.1.04.02",'TRANSAKSI'!$J$10:$J$1000,4,'TRANSAKSI'!$K$10:$K$1000,TahunSel)</f>
        <v/>
      </c>
      <c r="H28" s="17">
        <f>SUMIFS('TRANSAKSI'!$H$10:$H$1000,'TRANSAKSI'!$E$10:$E$1000,"6.1.04.02",'TRANSAKSI'!$J$10:$J$1000,5,'TRANSAKSI'!$K$10:$K$1000,TahunSel)-SUMIFS('TRANSAKSI'!$I$10:$I$1000,'TRANSAKSI'!$E$10:$E$1000,"6.1.04.02",'TRANSAKSI'!$J$10:$J$1000,5,'TRANSAKSI'!$K$10:$K$1000,TahunSel)</f>
        <v/>
      </c>
      <c r="I28" s="17">
        <f>SUMIFS('TRANSAKSI'!$H$10:$H$1000,'TRANSAKSI'!$E$10:$E$1000,"6.1.04.02",'TRANSAKSI'!$J$10:$J$1000,6,'TRANSAKSI'!$K$10:$K$1000,TahunSel)-SUMIFS('TRANSAKSI'!$I$10:$I$1000,'TRANSAKSI'!$E$10:$E$1000,"6.1.04.02",'TRANSAKSI'!$J$10:$J$1000,6,'TRANSAKSI'!$K$10:$K$1000,TahunSel)</f>
        <v/>
      </c>
      <c r="J28" s="17">
        <f>SUMIFS('TRANSAKSI'!$H$10:$H$1000,'TRANSAKSI'!$E$10:$E$1000,"6.1.04.02",'TRANSAKSI'!$J$10:$J$1000,7,'TRANSAKSI'!$K$10:$K$1000,TahunSel)-SUMIFS('TRANSAKSI'!$I$10:$I$1000,'TRANSAKSI'!$E$10:$E$1000,"6.1.04.02",'TRANSAKSI'!$J$10:$J$1000,7,'TRANSAKSI'!$K$10:$K$1000,TahunSel)</f>
        <v/>
      </c>
      <c r="K28" s="17">
        <f>SUMIFS('TRANSAKSI'!$H$10:$H$1000,'TRANSAKSI'!$E$10:$E$1000,"6.1.04.02",'TRANSAKSI'!$J$10:$J$1000,8,'TRANSAKSI'!$K$10:$K$1000,TahunSel)-SUMIFS('TRANSAKSI'!$I$10:$I$1000,'TRANSAKSI'!$E$10:$E$1000,"6.1.04.02",'TRANSAKSI'!$J$10:$J$1000,8,'TRANSAKSI'!$K$10:$K$1000,TahunSel)</f>
        <v/>
      </c>
      <c r="L28" s="17">
        <f>SUMIFS('TRANSAKSI'!$H$10:$H$1000,'TRANSAKSI'!$E$10:$E$1000,"6.1.04.02",'TRANSAKSI'!$J$10:$J$1000,9,'TRANSAKSI'!$K$10:$K$1000,TahunSel)-SUMIFS('TRANSAKSI'!$I$10:$I$1000,'TRANSAKSI'!$E$10:$E$1000,"6.1.04.02",'TRANSAKSI'!$J$10:$J$1000,9,'TRANSAKSI'!$K$10:$K$1000,TahunSel)</f>
        <v/>
      </c>
      <c r="M28" s="17">
        <f>SUMIFS('TRANSAKSI'!$H$10:$H$1000,'TRANSAKSI'!$E$10:$E$1000,"6.1.04.02",'TRANSAKSI'!$J$10:$J$1000,10,'TRANSAKSI'!$K$10:$K$1000,TahunSel)-SUMIFS('TRANSAKSI'!$I$10:$I$1000,'TRANSAKSI'!$E$10:$E$1000,"6.1.04.02",'TRANSAKSI'!$J$10:$J$1000,10,'TRANSAKSI'!$K$10:$K$1000,TahunSel)</f>
        <v/>
      </c>
      <c r="N28" s="17">
        <f>SUMIFS('TRANSAKSI'!$H$10:$H$1000,'TRANSAKSI'!$E$10:$E$1000,"6.1.04.02",'TRANSAKSI'!$J$10:$J$1000,11,'TRANSAKSI'!$K$10:$K$1000,TahunSel)-SUMIFS('TRANSAKSI'!$I$10:$I$1000,'TRANSAKSI'!$E$10:$E$1000,"6.1.04.02",'TRANSAKSI'!$J$10:$J$1000,11,'TRANSAKSI'!$K$10:$K$1000,TahunSel)</f>
        <v/>
      </c>
      <c r="O28" s="17">
        <f>SUMIFS('TRANSAKSI'!$H$10:$H$1000,'TRANSAKSI'!$E$10:$E$1000,"6.1.04.02",'TRANSAKSI'!$J$10:$J$1000,12,'TRANSAKSI'!$K$10:$K$1000,TahunSel)-SUMIFS('TRANSAKSI'!$I$10:$I$1000,'TRANSAKSI'!$E$10:$E$1000,"6.1.04.02",'TRANSAKSI'!$J$10:$J$1000,12,'TRANSAKSI'!$K$10:$K$1000,TahunSel)</f>
        <v/>
      </c>
      <c r="P28" s="17">
        <f>SUM(D28:O28)</f>
        <v/>
      </c>
    </row>
    <row r="29">
      <c r="A29" s="20" t="inlineStr">
        <is>
          <t>6.1.07.02</t>
        </is>
      </c>
      <c r="B29" s="4" t="inlineStr">
        <is>
          <t>Beban Penyusutan Kendaraan</t>
        </is>
      </c>
      <c r="C29" s="4" t="inlineStr">
        <is>
          <t>Beban</t>
        </is>
      </c>
      <c r="D29" s="9">
        <f>SUMIFS('TRANSAKSI'!$H$10:$H$1000,'TRANSAKSI'!$E$10:$E$1000,"6.1.07.02",'TRANSAKSI'!$J$10:$J$1000,1,'TRANSAKSI'!$K$10:$K$1000,TahunSel)-SUMIFS('TRANSAKSI'!$I$10:$I$1000,'TRANSAKSI'!$E$10:$E$1000,"6.1.07.02",'TRANSAKSI'!$J$10:$J$1000,1,'TRANSAKSI'!$K$10:$K$1000,TahunSel)</f>
        <v/>
      </c>
      <c r="E29" s="9">
        <f>SUMIFS('TRANSAKSI'!$H$10:$H$1000,'TRANSAKSI'!$E$10:$E$1000,"6.1.07.02",'TRANSAKSI'!$J$10:$J$1000,2,'TRANSAKSI'!$K$10:$K$1000,TahunSel)-SUMIFS('TRANSAKSI'!$I$10:$I$1000,'TRANSAKSI'!$E$10:$E$1000,"6.1.07.02",'TRANSAKSI'!$J$10:$J$1000,2,'TRANSAKSI'!$K$10:$K$1000,TahunSel)</f>
        <v/>
      </c>
      <c r="F29" s="9">
        <f>SUMIFS('TRANSAKSI'!$H$10:$H$1000,'TRANSAKSI'!$E$10:$E$1000,"6.1.07.02",'TRANSAKSI'!$J$10:$J$1000,3,'TRANSAKSI'!$K$10:$K$1000,TahunSel)-SUMIFS('TRANSAKSI'!$I$10:$I$1000,'TRANSAKSI'!$E$10:$E$1000,"6.1.07.02",'TRANSAKSI'!$J$10:$J$1000,3,'TRANSAKSI'!$K$10:$K$1000,TahunSel)</f>
        <v/>
      </c>
      <c r="G29" s="9">
        <f>SUMIFS('TRANSAKSI'!$H$10:$H$1000,'TRANSAKSI'!$E$10:$E$1000,"6.1.07.02",'TRANSAKSI'!$J$10:$J$1000,4,'TRANSAKSI'!$K$10:$K$1000,TahunSel)-SUMIFS('TRANSAKSI'!$I$10:$I$1000,'TRANSAKSI'!$E$10:$E$1000,"6.1.07.02",'TRANSAKSI'!$J$10:$J$1000,4,'TRANSAKSI'!$K$10:$K$1000,TahunSel)</f>
        <v/>
      </c>
      <c r="H29" s="9">
        <f>SUMIFS('TRANSAKSI'!$H$10:$H$1000,'TRANSAKSI'!$E$10:$E$1000,"6.1.07.02",'TRANSAKSI'!$J$10:$J$1000,5,'TRANSAKSI'!$K$10:$K$1000,TahunSel)-SUMIFS('TRANSAKSI'!$I$10:$I$1000,'TRANSAKSI'!$E$10:$E$1000,"6.1.07.02",'TRANSAKSI'!$J$10:$J$1000,5,'TRANSAKSI'!$K$10:$K$1000,TahunSel)</f>
        <v/>
      </c>
      <c r="I29" s="9">
        <f>SUMIFS('TRANSAKSI'!$H$10:$H$1000,'TRANSAKSI'!$E$10:$E$1000,"6.1.07.02",'TRANSAKSI'!$J$10:$J$1000,6,'TRANSAKSI'!$K$10:$K$1000,TahunSel)-SUMIFS('TRANSAKSI'!$I$10:$I$1000,'TRANSAKSI'!$E$10:$E$1000,"6.1.07.02",'TRANSAKSI'!$J$10:$J$1000,6,'TRANSAKSI'!$K$10:$K$1000,TahunSel)</f>
        <v/>
      </c>
      <c r="J29" s="9">
        <f>SUMIFS('TRANSAKSI'!$H$10:$H$1000,'TRANSAKSI'!$E$10:$E$1000,"6.1.07.02",'TRANSAKSI'!$J$10:$J$1000,7,'TRANSAKSI'!$K$10:$K$1000,TahunSel)-SUMIFS('TRANSAKSI'!$I$10:$I$1000,'TRANSAKSI'!$E$10:$E$1000,"6.1.07.02",'TRANSAKSI'!$J$10:$J$1000,7,'TRANSAKSI'!$K$10:$K$1000,TahunSel)</f>
        <v/>
      </c>
      <c r="K29" s="9">
        <f>SUMIFS('TRANSAKSI'!$H$10:$H$1000,'TRANSAKSI'!$E$10:$E$1000,"6.1.07.02",'TRANSAKSI'!$J$10:$J$1000,8,'TRANSAKSI'!$K$10:$K$1000,TahunSel)-SUMIFS('TRANSAKSI'!$I$10:$I$1000,'TRANSAKSI'!$E$10:$E$1000,"6.1.07.02",'TRANSAKSI'!$J$10:$J$1000,8,'TRANSAKSI'!$K$10:$K$1000,TahunSel)</f>
        <v/>
      </c>
      <c r="L29" s="9">
        <f>SUMIFS('TRANSAKSI'!$H$10:$H$1000,'TRANSAKSI'!$E$10:$E$1000,"6.1.07.02",'TRANSAKSI'!$J$10:$J$1000,9,'TRANSAKSI'!$K$10:$K$1000,TahunSel)-SUMIFS('TRANSAKSI'!$I$10:$I$1000,'TRANSAKSI'!$E$10:$E$1000,"6.1.07.02",'TRANSAKSI'!$J$10:$J$1000,9,'TRANSAKSI'!$K$10:$K$1000,TahunSel)</f>
        <v/>
      </c>
      <c r="M29" s="9">
        <f>SUMIFS('TRANSAKSI'!$H$10:$H$1000,'TRANSAKSI'!$E$10:$E$1000,"6.1.07.02",'TRANSAKSI'!$J$10:$J$1000,10,'TRANSAKSI'!$K$10:$K$1000,TahunSel)-SUMIFS('TRANSAKSI'!$I$10:$I$1000,'TRANSAKSI'!$E$10:$E$1000,"6.1.07.02",'TRANSAKSI'!$J$10:$J$1000,10,'TRANSAKSI'!$K$10:$K$1000,TahunSel)</f>
        <v/>
      </c>
      <c r="N29" s="9">
        <f>SUMIFS('TRANSAKSI'!$H$10:$H$1000,'TRANSAKSI'!$E$10:$E$1000,"6.1.07.02",'TRANSAKSI'!$J$10:$J$1000,11,'TRANSAKSI'!$K$10:$K$1000,TahunSel)-SUMIFS('TRANSAKSI'!$I$10:$I$1000,'TRANSAKSI'!$E$10:$E$1000,"6.1.07.02",'TRANSAKSI'!$J$10:$J$1000,11,'TRANSAKSI'!$K$10:$K$1000,TahunSel)</f>
        <v/>
      </c>
      <c r="O29" s="9">
        <f>SUMIFS('TRANSAKSI'!$H$10:$H$1000,'TRANSAKSI'!$E$10:$E$1000,"6.1.07.02",'TRANSAKSI'!$J$10:$J$1000,12,'TRANSAKSI'!$K$10:$K$1000,TahunSel)-SUMIFS('TRANSAKSI'!$I$10:$I$1000,'TRANSAKSI'!$E$10:$E$1000,"6.1.07.02",'TRANSAKSI'!$J$10:$J$1000,12,'TRANSAKSI'!$K$10:$K$1000,TahunSel)</f>
        <v/>
      </c>
      <c r="P29" s="9">
        <f>SUM(D29:O29)</f>
        <v/>
      </c>
    </row>
    <row r="30">
      <c r="A30" s="16" t="inlineStr">
        <is>
          <t>6.1.07.03</t>
        </is>
      </c>
      <c r="B30" s="15" t="inlineStr">
        <is>
          <t>Beban Penyusutan Peralatan dan Mesin</t>
        </is>
      </c>
      <c r="C30" s="15" t="inlineStr">
        <is>
          <t>Beban</t>
        </is>
      </c>
      <c r="D30" s="17">
        <f>SUMIFS('TRANSAKSI'!$H$10:$H$1000,'TRANSAKSI'!$E$10:$E$1000,"6.1.07.03",'TRANSAKSI'!$J$10:$J$1000,1,'TRANSAKSI'!$K$10:$K$1000,TahunSel)-SUMIFS('TRANSAKSI'!$I$10:$I$1000,'TRANSAKSI'!$E$10:$E$1000,"6.1.07.03",'TRANSAKSI'!$J$10:$J$1000,1,'TRANSAKSI'!$K$10:$K$1000,TahunSel)</f>
        <v/>
      </c>
      <c r="E30" s="17">
        <f>SUMIFS('TRANSAKSI'!$H$10:$H$1000,'TRANSAKSI'!$E$10:$E$1000,"6.1.07.03",'TRANSAKSI'!$J$10:$J$1000,2,'TRANSAKSI'!$K$10:$K$1000,TahunSel)-SUMIFS('TRANSAKSI'!$I$10:$I$1000,'TRANSAKSI'!$E$10:$E$1000,"6.1.07.03",'TRANSAKSI'!$J$10:$J$1000,2,'TRANSAKSI'!$K$10:$K$1000,TahunSel)</f>
        <v/>
      </c>
      <c r="F30" s="17">
        <f>SUMIFS('TRANSAKSI'!$H$10:$H$1000,'TRANSAKSI'!$E$10:$E$1000,"6.1.07.03",'TRANSAKSI'!$J$10:$J$1000,3,'TRANSAKSI'!$K$10:$K$1000,TahunSel)-SUMIFS('TRANSAKSI'!$I$10:$I$1000,'TRANSAKSI'!$E$10:$E$1000,"6.1.07.03",'TRANSAKSI'!$J$10:$J$1000,3,'TRANSAKSI'!$K$10:$K$1000,TahunSel)</f>
        <v/>
      </c>
      <c r="G30" s="17">
        <f>SUMIFS('TRANSAKSI'!$H$10:$H$1000,'TRANSAKSI'!$E$10:$E$1000,"6.1.07.03",'TRANSAKSI'!$J$10:$J$1000,4,'TRANSAKSI'!$K$10:$K$1000,TahunSel)-SUMIFS('TRANSAKSI'!$I$10:$I$1000,'TRANSAKSI'!$E$10:$E$1000,"6.1.07.03",'TRANSAKSI'!$J$10:$J$1000,4,'TRANSAKSI'!$K$10:$K$1000,TahunSel)</f>
        <v/>
      </c>
      <c r="H30" s="17">
        <f>SUMIFS('TRANSAKSI'!$H$10:$H$1000,'TRANSAKSI'!$E$10:$E$1000,"6.1.07.03",'TRANSAKSI'!$J$10:$J$1000,5,'TRANSAKSI'!$K$10:$K$1000,TahunSel)-SUMIFS('TRANSAKSI'!$I$10:$I$1000,'TRANSAKSI'!$E$10:$E$1000,"6.1.07.03",'TRANSAKSI'!$J$10:$J$1000,5,'TRANSAKSI'!$K$10:$K$1000,TahunSel)</f>
        <v/>
      </c>
      <c r="I30" s="17">
        <f>SUMIFS('TRANSAKSI'!$H$10:$H$1000,'TRANSAKSI'!$E$10:$E$1000,"6.1.07.03",'TRANSAKSI'!$J$10:$J$1000,6,'TRANSAKSI'!$K$10:$K$1000,TahunSel)-SUMIFS('TRANSAKSI'!$I$10:$I$1000,'TRANSAKSI'!$E$10:$E$1000,"6.1.07.03",'TRANSAKSI'!$J$10:$J$1000,6,'TRANSAKSI'!$K$10:$K$1000,TahunSel)</f>
        <v/>
      </c>
      <c r="J30" s="17">
        <f>SUMIFS('TRANSAKSI'!$H$10:$H$1000,'TRANSAKSI'!$E$10:$E$1000,"6.1.07.03",'TRANSAKSI'!$J$10:$J$1000,7,'TRANSAKSI'!$K$10:$K$1000,TahunSel)-SUMIFS('TRANSAKSI'!$I$10:$I$1000,'TRANSAKSI'!$E$10:$E$1000,"6.1.07.03",'TRANSAKSI'!$J$10:$J$1000,7,'TRANSAKSI'!$K$10:$K$1000,TahunSel)</f>
        <v/>
      </c>
      <c r="K30" s="17">
        <f>SUMIFS('TRANSAKSI'!$H$10:$H$1000,'TRANSAKSI'!$E$10:$E$1000,"6.1.07.03",'TRANSAKSI'!$J$10:$J$1000,8,'TRANSAKSI'!$K$10:$K$1000,TahunSel)-SUMIFS('TRANSAKSI'!$I$10:$I$1000,'TRANSAKSI'!$E$10:$E$1000,"6.1.07.03",'TRANSAKSI'!$J$10:$J$1000,8,'TRANSAKSI'!$K$10:$K$1000,TahunSel)</f>
        <v/>
      </c>
      <c r="L30" s="17">
        <f>SUMIFS('TRANSAKSI'!$H$10:$H$1000,'TRANSAKSI'!$E$10:$E$1000,"6.1.07.03",'TRANSAKSI'!$J$10:$J$1000,9,'TRANSAKSI'!$K$10:$K$1000,TahunSel)-SUMIFS('TRANSAKSI'!$I$10:$I$1000,'TRANSAKSI'!$E$10:$E$1000,"6.1.07.03",'TRANSAKSI'!$J$10:$J$1000,9,'TRANSAKSI'!$K$10:$K$1000,TahunSel)</f>
        <v/>
      </c>
      <c r="M30" s="17">
        <f>SUMIFS('TRANSAKSI'!$H$10:$H$1000,'TRANSAKSI'!$E$10:$E$1000,"6.1.07.03",'TRANSAKSI'!$J$10:$J$1000,10,'TRANSAKSI'!$K$10:$K$1000,TahunSel)-SUMIFS('TRANSAKSI'!$I$10:$I$1000,'TRANSAKSI'!$E$10:$E$1000,"6.1.07.03",'TRANSAKSI'!$J$10:$J$1000,10,'TRANSAKSI'!$K$10:$K$1000,TahunSel)</f>
        <v/>
      </c>
      <c r="N30" s="17">
        <f>SUMIFS('TRANSAKSI'!$H$10:$H$1000,'TRANSAKSI'!$E$10:$E$1000,"6.1.07.03",'TRANSAKSI'!$J$10:$J$1000,11,'TRANSAKSI'!$K$10:$K$1000,TahunSel)-SUMIFS('TRANSAKSI'!$I$10:$I$1000,'TRANSAKSI'!$E$10:$E$1000,"6.1.07.03",'TRANSAKSI'!$J$10:$J$1000,11,'TRANSAKSI'!$K$10:$K$1000,TahunSel)</f>
        <v/>
      </c>
      <c r="O30" s="17">
        <f>SUMIFS('TRANSAKSI'!$H$10:$H$1000,'TRANSAKSI'!$E$10:$E$1000,"6.1.07.03",'TRANSAKSI'!$J$10:$J$1000,12,'TRANSAKSI'!$K$10:$K$1000,TahunSel)-SUMIFS('TRANSAKSI'!$I$10:$I$1000,'TRANSAKSI'!$E$10:$E$1000,"6.1.07.03",'TRANSAKSI'!$J$10:$J$1000,12,'TRANSAKSI'!$K$10:$K$1000,TahunSel)</f>
        <v/>
      </c>
      <c r="P30" s="17">
        <f>SUM(D30:O30)</f>
        <v/>
      </c>
    </row>
    <row r="31">
      <c r="A31" s="20" t="inlineStr">
        <is>
          <t>6.1.07.04</t>
        </is>
      </c>
      <c r="B31" s="4" t="inlineStr">
        <is>
          <t>Beban Penyusutan Meubelair</t>
        </is>
      </c>
      <c r="C31" s="4" t="inlineStr">
        <is>
          <t>Beban</t>
        </is>
      </c>
      <c r="D31" s="9">
        <f>SUMIFS('TRANSAKSI'!$H$10:$H$1000,'TRANSAKSI'!$E$10:$E$1000,"6.1.07.04",'TRANSAKSI'!$J$10:$J$1000,1,'TRANSAKSI'!$K$10:$K$1000,TahunSel)-SUMIFS('TRANSAKSI'!$I$10:$I$1000,'TRANSAKSI'!$E$10:$E$1000,"6.1.07.04",'TRANSAKSI'!$J$10:$J$1000,1,'TRANSAKSI'!$K$10:$K$1000,TahunSel)</f>
        <v/>
      </c>
      <c r="E31" s="9">
        <f>SUMIFS('TRANSAKSI'!$H$10:$H$1000,'TRANSAKSI'!$E$10:$E$1000,"6.1.07.04",'TRANSAKSI'!$J$10:$J$1000,2,'TRANSAKSI'!$K$10:$K$1000,TahunSel)-SUMIFS('TRANSAKSI'!$I$10:$I$1000,'TRANSAKSI'!$E$10:$E$1000,"6.1.07.04",'TRANSAKSI'!$J$10:$J$1000,2,'TRANSAKSI'!$K$10:$K$1000,TahunSel)</f>
        <v/>
      </c>
      <c r="F31" s="9">
        <f>SUMIFS('TRANSAKSI'!$H$10:$H$1000,'TRANSAKSI'!$E$10:$E$1000,"6.1.07.04",'TRANSAKSI'!$J$10:$J$1000,3,'TRANSAKSI'!$K$10:$K$1000,TahunSel)-SUMIFS('TRANSAKSI'!$I$10:$I$1000,'TRANSAKSI'!$E$10:$E$1000,"6.1.07.04",'TRANSAKSI'!$J$10:$J$1000,3,'TRANSAKSI'!$K$10:$K$1000,TahunSel)</f>
        <v/>
      </c>
      <c r="G31" s="9">
        <f>SUMIFS('TRANSAKSI'!$H$10:$H$1000,'TRANSAKSI'!$E$10:$E$1000,"6.1.07.04",'TRANSAKSI'!$J$10:$J$1000,4,'TRANSAKSI'!$K$10:$K$1000,TahunSel)-SUMIFS('TRANSAKSI'!$I$10:$I$1000,'TRANSAKSI'!$E$10:$E$1000,"6.1.07.04",'TRANSAKSI'!$J$10:$J$1000,4,'TRANSAKSI'!$K$10:$K$1000,TahunSel)</f>
        <v/>
      </c>
      <c r="H31" s="9">
        <f>SUMIFS('TRANSAKSI'!$H$10:$H$1000,'TRANSAKSI'!$E$10:$E$1000,"6.1.07.04",'TRANSAKSI'!$J$10:$J$1000,5,'TRANSAKSI'!$K$10:$K$1000,TahunSel)-SUMIFS('TRANSAKSI'!$I$10:$I$1000,'TRANSAKSI'!$E$10:$E$1000,"6.1.07.04",'TRANSAKSI'!$J$10:$J$1000,5,'TRANSAKSI'!$K$10:$K$1000,TahunSel)</f>
        <v/>
      </c>
      <c r="I31" s="9">
        <f>SUMIFS('TRANSAKSI'!$H$10:$H$1000,'TRANSAKSI'!$E$10:$E$1000,"6.1.07.04",'TRANSAKSI'!$J$10:$J$1000,6,'TRANSAKSI'!$K$10:$K$1000,TahunSel)-SUMIFS('TRANSAKSI'!$I$10:$I$1000,'TRANSAKSI'!$E$10:$E$1000,"6.1.07.04",'TRANSAKSI'!$J$10:$J$1000,6,'TRANSAKSI'!$K$10:$K$1000,TahunSel)</f>
        <v/>
      </c>
      <c r="J31" s="9">
        <f>SUMIFS('TRANSAKSI'!$H$10:$H$1000,'TRANSAKSI'!$E$10:$E$1000,"6.1.07.04",'TRANSAKSI'!$J$10:$J$1000,7,'TRANSAKSI'!$K$10:$K$1000,TahunSel)-SUMIFS('TRANSAKSI'!$I$10:$I$1000,'TRANSAKSI'!$E$10:$E$1000,"6.1.07.04",'TRANSAKSI'!$J$10:$J$1000,7,'TRANSAKSI'!$K$10:$K$1000,TahunSel)</f>
        <v/>
      </c>
      <c r="K31" s="9">
        <f>SUMIFS('TRANSAKSI'!$H$10:$H$1000,'TRANSAKSI'!$E$10:$E$1000,"6.1.07.04",'TRANSAKSI'!$J$10:$J$1000,8,'TRANSAKSI'!$K$10:$K$1000,TahunSel)-SUMIFS('TRANSAKSI'!$I$10:$I$1000,'TRANSAKSI'!$E$10:$E$1000,"6.1.07.04",'TRANSAKSI'!$J$10:$J$1000,8,'TRANSAKSI'!$K$10:$K$1000,TahunSel)</f>
        <v/>
      </c>
      <c r="L31" s="9">
        <f>SUMIFS('TRANSAKSI'!$H$10:$H$1000,'TRANSAKSI'!$E$10:$E$1000,"6.1.07.04",'TRANSAKSI'!$J$10:$J$1000,9,'TRANSAKSI'!$K$10:$K$1000,TahunSel)-SUMIFS('TRANSAKSI'!$I$10:$I$1000,'TRANSAKSI'!$E$10:$E$1000,"6.1.07.04",'TRANSAKSI'!$J$10:$J$1000,9,'TRANSAKSI'!$K$10:$K$1000,TahunSel)</f>
        <v/>
      </c>
      <c r="M31" s="9">
        <f>SUMIFS('TRANSAKSI'!$H$10:$H$1000,'TRANSAKSI'!$E$10:$E$1000,"6.1.07.04",'TRANSAKSI'!$J$10:$J$1000,10,'TRANSAKSI'!$K$10:$K$1000,TahunSel)-SUMIFS('TRANSAKSI'!$I$10:$I$1000,'TRANSAKSI'!$E$10:$E$1000,"6.1.07.04",'TRANSAKSI'!$J$10:$J$1000,10,'TRANSAKSI'!$K$10:$K$1000,TahunSel)</f>
        <v/>
      </c>
      <c r="N31" s="9">
        <f>SUMIFS('TRANSAKSI'!$H$10:$H$1000,'TRANSAKSI'!$E$10:$E$1000,"6.1.07.04",'TRANSAKSI'!$J$10:$J$1000,11,'TRANSAKSI'!$K$10:$K$1000,TahunSel)-SUMIFS('TRANSAKSI'!$I$10:$I$1000,'TRANSAKSI'!$E$10:$E$1000,"6.1.07.04",'TRANSAKSI'!$J$10:$J$1000,11,'TRANSAKSI'!$K$10:$K$1000,TahunSel)</f>
        <v/>
      </c>
      <c r="O31" s="9">
        <f>SUMIFS('TRANSAKSI'!$H$10:$H$1000,'TRANSAKSI'!$E$10:$E$1000,"6.1.07.04",'TRANSAKSI'!$J$10:$J$1000,12,'TRANSAKSI'!$K$10:$K$1000,TahunSel)-SUMIFS('TRANSAKSI'!$I$10:$I$1000,'TRANSAKSI'!$E$10:$E$1000,"6.1.07.04",'TRANSAKSI'!$J$10:$J$1000,12,'TRANSAKSI'!$K$10:$K$1000,TahunSel)</f>
        <v/>
      </c>
      <c r="P31" s="9">
        <f>SUM(D31:O31)</f>
        <v/>
      </c>
    </row>
    <row r="32">
      <c r="A32" s="16" t="inlineStr">
        <is>
          <t>6.1.07.05</t>
        </is>
      </c>
      <c r="B32" s="15" t="inlineStr">
        <is>
          <t>Beban Penyusutan Gedung dan Bangunan</t>
        </is>
      </c>
      <c r="C32" s="15" t="inlineStr">
        <is>
          <t>Beban</t>
        </is>
      </c>
      <c r="D32" s="17">
        <f>SUMIFS('TRANSAKSI'!$H$10:$H$1000,'TRANSAKSI'!$E$10:$E$1000,"6.1.07.05",'TRANSAKSI'!$J$10:$J$1000,1,'TRANSAKSI'!$K$10:$K$1000,TahunSel)-SUMIFS('TRANSAKSI'!$I$10:$I$1000,'TRANSAKSI'!$E$10:$E$1000,"6.1.07.05",'TRANSAKSI'!$J$10:$J$1000,1,'TRANSAKSI'!$K$10:$K$1000,TahunSel)</f>
        <v/>
      </c>
      <c r="E32" s="17">
        <f>SUMIFS('TRANSAKSI'!$H$10:$H$1000,'TRANSAKSI'!$E$10:$E$1000,"6.1.07.05",'TRANSAKSI'!$J$10:$J$1000,2,'TRANSAKSI'!$K$10:$K$1000,TahunSel)-SUMIFS('TRANSAKSI'!$I$10:$I$1000,'TRANSAKSI'!$E$10:$E$1000,"6.1.07.05",'TRANSAKSI'!$J$10:$J$1000,2,'TRANSAKSI'!$K$10:$K$1000,TahunSel)</f>
        <v/>
      </c>
      <c r="F32" s="17">
        <f>SUMIFS('TRANSAKSI'!$H$10:$H$1000,'TRANSAKSI'!$E$10:$E$1000,"6.1.07.05",'TRANSAKSI'!$J$10:$J$1000,3,'TRANSAKSI'!$K$10:$K$1000,TahunSel)-SUMIFS('TRANSAKSI'!$I$10:$I$1000,'TRANSAKSI'!$E$10:$E$1000,"6.1.07.05",'TRANSAKSI'!$J$10:$J$1000,3,'TRANSAKSI'!$K$10:$K$1000,TahunSel)</f>
        <v/>
      </c>
      <c r="G32" s="17">
        <f>SUMIFS('TRANSAKSI'!$H$10:$H$1000,'TRANSAKSI'!$E$10:$E$1000,"6.1.07.05",'TRANSAKSI'!$J$10:$J$1000,4,'TRANSAKSI'!$K$10:$K$1000,TahunSel)-SUMIFS('TRANSAKSI'!$I$10:$I$1000,'TRANSAKSI'!$E$10:$E$1000,"6.1.07.05",'TRANSAKSI'!$J$10:$J$1000,4,'TRANSAKSI'!$K$10:$K$1000,TahunSel)</f>
        <v/>
      </c>
      <c r="H32" s="17">
        <f>SUMIFS('TRANSAKSI'!$H$10:$H$1000,'TRANSAKSI'!$E$10:$E$1000,"6.1.07.05",'TRANSAKSI'!$J$10:$J$1000,5,'TRANSAKSI'!$K$10:$K$1000,TahunSel)-SUMIFS('TRANSAKSI'!$I$10:$I$1000,'TRANSAKSI'!$E$10:$E$1000,"6.1.07.05",'TRANSAKSI'!$J$10:$J$1000,5,'TRANSAKSI'!$K$10:$K$1000,TahunSel)</f>
        <v/>
      </c>
      <c r="I32" s="17">
        <f>SUMIFS('TRANSAKSI'!$H$10:$H$1000,'TRANSAKSI'!$E$10:$E$1000,"6.1.07.05",'TRANSAKSI'!$J$10:$J$1000,6,'TRANSAKSI'!$K$10:$K$1000,TahunSel)-SUMIFS('TRANSAKSI'!$I$10:$I$1000,'TRANSAKSI'!$E$10:$E$1000,"6.1.07.05",'TRANSAKSI'!$J$10:$J$1000,6,'TRANSAKSI'!$K$10:$K$1000,TahunSel)</f>
        <v/>
      </c>
      <c r="J32" s="17">
        <f>SUMIFS('TRANSAKSI'!$H$10:$H$1000,'TRANSAKSI'!$E$10:$E$1000,"6.1.07.05",'TRANSAKSI'!$J$10:$J$1000,7,'TRANSAKSI'!$K$10:$K$1000,TahunSel)-SUMIFS('TRANSAKSI'!$I$10:$I$1000,'TRANSAKSI'!$E$10:$E$1000,"6.1.07.05",'TRANSAKSI'!$J$10:$J$1000,7,'TRANSAKSI'!$K$10:$K$1000,TahunSel)</f>
        <v/>
      </c>
      <c r="K32" s="17">
        <f>SUMIFS('TRANSAKSI'!$H$10:$H$1000,'TRANSAKSI'!$E$10:$E$1000,"6.1.07.05",'TRANSAKSI'!$J$10:$J$1000,8,'TRANSAKSI'!$K$10:$K$1000,TahunSel)-SUMIFS('TRANSAKSI'!$I$10:$I$1000,'TRANSAKSI'!$E$10:$E$1000,"6.1.07.05",'TRANSAKSI'!$J$10:$J$1000,8,'TRANSAKSI'!$K$10:$K$1000,TahunSel)</f>
        <v/>
      </c>
      <c r="L32" s="17">
        <f>SUMIFS('TRANSAKSI'!$H$10:$H$1000,'TRANSAKSI'!$E$10:$E$1000,"6.1.07.05",'TRANSAKSI'!$J$10:$J$1000,9,'TRANSAKSI'!$K$10:$K$1000,TahunSel)-SUMIFS('TRANSAKSI'!$I$10:$I$1000,'TRANSAKSI'!$E$10:$E$1000,"6.1.07.05",'TRANSAKSI'!$J$10:$J$1000,9,'TRANSAKSI'!$K$10:$K$1000,TahunSel)</f>
        <v/>
      </c>
      <c r="M32" s="17">
        <f>SUMIFS('TRANSAKSI'!$H$10:$H$1000,'TRANSAKSI'!$E$10:$E$1000,"6.1.07.05",'TRANSAKSI'!$J$10:$J$1000,10,'TRANSAKSI'!$K$10:$K$1000,TahunSel)-SUMIFS('TRANSAKSI'!$I$10:$I$1000,'TRANSAKSI'!$E$10:$E$1000,"6.1.07.05",'TRANSAKSI'!$J$10:$J$1000,10,'TRANSAKSI'!$K$10:$K$1000,TahunSel)</f>
        <v/>
      </c>
      <c r="N32" s="17">
        <f>SUMIFS('TRANSAKSI'!$H$10:$H$1000,'TRANSAKSI'!$E$10:$E$1000,"6.1.07.05",'TRANSAKSI'!$J$10:$J$1000,11,'TRANSAKSI'!$K$10:$K$1000,TahunSel)-SUMIFS('TRANSAKSI'!$I$10:$I$1000,'TRANSAKSI'!$E$10:$E$1000,"6.1.07.05",'TRANSAKSI'!$J$10:$J$1000,11,'TRANSAKSI'!$K$10:$K$1000,TahunSel)</f>
        <v/>
      </c>
      <c r="O32" s="17">
        <f>SUMIFS('TRANSAKSI'!$H$10:$H$1000,'TRANSAKSI'!$E$10:$E$1000,"6.1.07.05",'TRANSAKSI'!$J$10:$J$1000,12,'TRANSAKSI'!$K$10:$K$1000,TahunSel)-SUMIFS('TRANSAKSI'!$I$10:$I$1000,'TRANSAKSI'!$E$10:$E$1000,"6.1.07.05",'TRANSAKSI'!$J$10:$J$1000,12,'TRANSAKSI'!$K$10:$K$1000,TahunSel)</f>
        <v/>
      </c>
      <c r="P32" s="17">
        <f>SUM(D32:O32)</f>
        <v/>
      </c>
    </row>
    <row r="33">
      <c r="A33" s="20" t="inlineStr">
        <is>
          <t>6.1.99.03</t>
        </is>
      </c>
      <c r="B33" s="4" t="inlineStr">
        <is>
          <t>Beban Perjalanan Dinas</t>
        </is>
      </c>
      <c r="C33" s="4" t="inlineStr">
        <is>
          <t>Beban</t>
        </is>
      </c>
      <c r="D33" s="9">
        <f>SUMIFS('TRANSAKSI'!$H$10:$H$1000,'TRANSAKSI'!$E$10:$E$1000,"6.1.99.03",'TRANSAKSI'!$J$10:$J$1000,1,'TRANSAKSI'!$K$10:$K$1000,TahunSel)-SUMIFS('TRANSAKSI'!$I$10:$I$1000,'TRANSAKSI'!$E$10:$E$1000,"6.1.99.03",'TRANSAKSI'!$J$10:$J$1000,1,'TRANSAKSI'!$K$10:$K$1000,TahunSel)</f>
        <v/>
      </c>
      <c r="E33" s="9">
        <f>SUMIFS('TRANSAKSI'!$H$10:$H$1000,'TRANSAKSI'!$E$10:$E$1000,"6.1.99.03",'TRANSAKSI'!$J$10:$J$1000,2,'TRANSAKSI'!$K$10:$K$1000,TahunSel)-SUMIFS('TRANSAKSI'!$I$10:$I$1000,'TRANSAKSI'!$E$10:$E$1000,"6.1.99.03",'TRANSAKSI'!$J$10:$J$1000,2,'TRANSAKSI'!$K$10:$K$1000,TahunSel)</f>
        <v/>
      </c>
      <c r="F33" s="9">
        <f>SUMIFS('TRANSAKSI'!$H$10:$H$1000,'TRANSAKSI'!$E$10:$E$1000,"6.1.99.03",'TRANSAKSI'!$J$10:$J$1000,3,'TRANSAKSI'!$K$10:$K$1000,TahunSel)-SUMIFS('TRANSAKSI'!$I$10:$I$1000,'TRANSAKSI'!$E$10:$E$1000,"6.1.99.03",'TRANSAKSI'!$J$10:$J$1000,3,'TRANSAKSI'!$K$10:$K$1000,TahunSel)</f>
        <v/>
      </c>
      <c r="G33" s="9">
        <f>SUMIFS('TRANSAKSI'!$H$10:$H$1000,'TRANSAKSI'!$E$10:$E$1000,"6.1.99.03",'TRANSAKSI'!$J$10:$J$1000,4,'TRANSAKSI'!$K$10:$K$1000,TahunSel)-SUMIFS('TRANSAKSI'!$I$10:$I$1000,'TRANSAKSI'!$E$10:$E$1000,"6.1.99.03",'TRANSAKSI'!$J$10:$J$1000,4,'TRANSAKSI'!$K$10:$K$1000,TahunSel)</f>
        <v/>
      </c>
      <c r="H33" s="9">
        <f>SUMIFS('TRANSAKSI'!$H$10:$H$1000,'TRANSAKSI'!$E$10:$E$1000,"6.1.99.03",'TRANSAKSI'!$J$10:$J$1000,5,'TRANSAKSI'!$K$10:$K$1000,TahunSel)-SUMIFS('TRANSAKSI'!$I$10:$I$1000,'TRANSAKSI'!$E$10:$E$1000,"6.1.99.03",'TRANSAKSI'!$J$10:$J$1000,5,'TRANSAKSI'!$K$10:$K$1000,TahunSel)</f>
        <v/>
      </c>
      <c r="I33" s="9">
        <f>SUMIFS('TRANSAKSI'!$H$10:$H$1000,'TRANSAKSI'!$E$10:$E$1000,"6.1.99.03",'TRANSAKSI'!$J$10:$J$1000,6,'TRANSAKSI'!$K$10:$K$1000,TahunSel)-SUMIFS('TRANSAKSI'!$I$10:$I$1000,'TRANSAKSI'!$E$10:$E$1000,"6.1.99.03",'TRANSAKSI'!$J$10:$J$1000,6,'TRANSAKSI'!$K$10:$K$1000,TahunSel)</f>
        <v/>
      </c>
      <c r="J33" s="9">
        <f>SUMIFS('TRANSAKSI'!$H$10:$H$1000,'TRANSAKSI'!$E$10:$E$1000,"6.1.99.03",'TRANSAKSI'!$J$10:$J$1000,7,'TRANSAKSI'!$K$10:$K$1000,TahunSel)-SUMIFS('TRANSAKSI'!$I$10:$I$1000,'TRANSAKSI'!$E$10:$E$1000,"6.1.99.03",'TRANSAKSI'!$J$10:$J$1000,7,'TRANSAKSI'!$K$10:$K$1000,TahunSel)</f>
        <v/>
      </c>
      <c r="K33" s="9">
        <f>SUMIFS('TRANSAKSI'!$H$10:$H$1000,'TRANSAKSI'!$E$10:$E$1000,"6.1.99.03",'TRANSAKSI'!$J$10:$J$1000,8,'TRANSAKSI'!$K$10:$K$1000,TahunSel)-SUMIFS('TRANSAKSI'!$I$10:$I$1000,'TRANSAKSI'!$E$10:$E$1000,"6.1.99.03",'TRANSAKSI'!$J$10:$J$1000,8,'TRANSAKSI'!$K$10:$K$1000,TahunSel)</f>
        <v/>
      </c>
      <c r="L33" s="9">
        <f>SUMIFS('TRANSAKSI'!$H$10:$H$1000,'TRANSAKSI'!$E$10:$E$1000,"6.1.99.03",'TRANSAKSI'!$J$10:$J$1000,9,'TRANSAKSI'!$K$10:$K$1000,TahunSel)-SUMIFS('TRANSAKSI'!$I$10:$I$1000,'TRANSAKSI'!$E$10:$E$1000,"6.1.99.03",'TRANSAKSI'!$J$10:$J$1000,9,'TRANSAKSI'!$K$10:$K$1000,TahunSel)</f>
        <v/>
      </c>
      <c r="M33" s="9">
        <f>SUMIFS('TRANSAKSI'!$H$10:$H$1000,'TRANSAKSI'!$E$10:$E$1000,"6.1.99.03",'TRANSAKSI'!$J$10:$J$1000,10,'TRANSAKSI'!$K$10:$K$1000,TahunSel)-SUMIFS('TRANSAKSI'!$I$10:$I$1000,'TRANSAKSI'!$E$10:$E$1000,"6.1.99.03",'TRANSAKSI'!$J$10:$J$1000,10,'TRANSAKSI'!$K$10:$K$1000,TahunSel)</f>
        <v/>
      </c>
      <c r="N33" s="9">
        <f>SUMIFS('TRANSAKSI'!$H$10:$H$1000,'TRANSAKSI'!$E$10:$E$1000,"6.1.99.03",'TRANSAKSI'!$J$10:$J$1000,11,'TRANSAKSI'!$K$10:$K$1000,TahunSel)-SUMIFS('TRANSAKSI'!$I$10:$I$1000,'TRANSAKSI'!$E$10:$E$1000,"6.1.99.03",'TRANSAKSI'!$J$10:$J$1000,11,'TRANSAKSI'!$K$10:$K$1000,TahunSel)</f>
        <v/>
      </c>
      <c r="O33" s="9">
        <f>SUMIFS('TRANSAKSI'!$H$10:$H$1000,'TRANSAKSI'!$E$10:$E$1000,"6.1.99.03",'TRANSAKSI'!$J$10:$J$1000,12,'TRANSAKSI'!$K$10:$K$1000,TahunSel)-SUMIFS('TRANSAKSI'!$I$10:$I$1000,'TRANSAKSI'!$E$10:$E$1000,"6.1.99.03",'TRANSAKSI'!$J$10:$J$1000,12,'TRANSAKSI'!$K$10:$K$1000,TahunSel)</f>
        <v/>
      </c>
      <c r="P33" s="9">
        <f>SUM(D33:O33)</f>
        <v/>
      </c>
    </row>
    <row r="34">
      <c r="A34" s="16" t="inlineStr">
        <is>
          <t>6.1.99.05</t>
        </is>
      </c>
      <c r="B34" s="15" t="inlineStr">
        <is>
          <t>Beban Jamuan Tamu</t>
        </is>
      </c>
      <c r="C34" s="15" t="inlineStr">
        <is>
          <t>Beban</t>
        </is>
      </c>
      <c r="D34" s="17">
        <f>SUMIFS('TRANSAKSI'!$H$10:$H$1000,'TRANSAKSI'!$E$10:$E$1000,"6.1.99.05",'TRANSAKSI'!$J$10:$J$1000,1,'TRANSAKSI'!$K$10:$K$1000,TahunSel)-SUMIFS('TRANSAKSI'!$I$10:$I$1000,'TRANSAKSI'!$E$10:$E$1000,"6.1.99.05",'TRANSAKSI'!$J$10:$J$1000,1,'TRANSAKSI'!$K$10:$K$1000,TahunSel)</f>
        <v/>
      </c>
      <c r="E34" s="17">
        <f>SUMIFS('TRANSAKSI'!$H$10:$H$1000,'TRANSAKSI'!$E$10:$E$1000,"6.1.99.05",'TRANSAKSI'!$J$10:$J$1000,2,'TRANSAKSI'!$K$10:$K$1000,TahunSel)-SUMIFS('TRANSAKSI'!$I$10:$I$1000,'TRANSAKSI'!$E$10:$E$1000,"6.1.99.05",'TRANSAKSI'!$J$10:$J$1000,2,'TRANSAKSI'!$K$10:$K$1000,TahunSel)</f>
        <v/>
      </c>
      <c r="F34" s="17">
        <f>SUMIFS('TRANSAKSI'!$H$10:$H$1000,'TRANSAKSI'!$E$10:$E$1000,"6.1.99.05",'TRANSAKSI'!$J$10:$J$1000,3,'TRANSAKSI'!$K$10:$K$1000,TahunSel)-SUMIFS('TRANSAKSI'!$I$10:$I$1000,'TRANSAKSI'!$E$10:$E$1000,"6.1.99.05",'TRANSAKSI'!$J$10:$J$1000,3,'TRANSAKSI'!$K$10:$K$1000,TahunSel)</f>
        <v/>
      </c>
      <c r="G34" s="17">
        <f>SUMIFS('TRANSAKSI'!$H$10:$H$1000,'TRANSAKSI'!$E$10:$E$1000,"6.1.99.05",'TRANSAKSI'!$J$10:$J$1000,4,'TRANSAKSI'!$K$10:$K$1000,TahunSel)-SUMIFS('TRANSAKSI'!$I$10:$I$1000,'TRANSAKSI'!$E$10:$E$1000,"6.1.99.05",'TRANSAKSI'!$J$10:$J$1000,4,'TRANSAKSI'!$K$10:$K$1000,TahunSel)</f>
        <v/>
      </c>
      <c r="H34" s="17">
        <f>SUMIFS('TRANSAKSI'!$H$10:$H$1000,'TRANSAKSI'!$E$10:$E$1000,"6.1.99.05",'TRANSAKSI'!$J$10:$J$1000,5,'TRANSAKSI'!$K$10:$K$1000,TahunSel)-SUMIFS('TRANSAKSI'!$I$10:$I$1000,'TRANSAKSI'!$E$10:$E$1000,"6.1.99.05",'TRANSAKSI'!$J$10:$J$1000,5,'TRANSAKSI'!$K$10:$K$1000,TahunSel)</f>
        <v/>
      </c>
      <c r="I34" s="17">
        <f>SUMIFS('TRANSAKSI'!$H$10:$H$1000,'TRANSAKSI'!$E$10:$E$1000,"6.1.99.05",'TRANSAKSI'!$J$10:$J$1000,6,'TRANSAKSI'!$K$10:$K$1000,TahunSel)-SUMIFS('TRANSAKSI'!$I$10:$I$1000,'TRANSAKSI'!$E$10:$E$1000,"6.1.99.05",'TRANSAKSI'!$J$10:$J$1000,6,'TRANSAKSI'!$K$10:$K$1000,TahunSel)</f>
        <v/>
      </c>
      <c r="J34" s="17">
        <f>SUMIFS('TRANSAKSI'!$H$10:$H$1000,'TRANSAKSI'!$E$10:$E$1000,"6.1.99.05",'TRANSAKSI'!$J$10:$J$1000,7,'TRANSAKSI'!$K$10:$K$1000,TahunSel)-SUMIFS('TRANSAKSI'!$I$10:$I$1000,'TRANSAKSI'!$E$10:$E$1000,"6.1.99.05",'TRANSAKSI'!$J$10:$J$1000,7,'TRANSAKSI'!$K$10:$K$1000,TahunSel)</f>
        <v/>
      </c>
      <c r="K34" s="17">
        <f>SUMIFS('TRANSAKSI'!$H$10:$H$1000,'TRANSAKSI'!$E$10:$E$1000,"6.1.99.05",'TRANSAKSI'!$J$10:$J$1000,8,'TRANSAKSI'!$K$10:$K$1000,TahunSel)-SUMIFS('TRANSAKSI'!$I$10:$I$1000,'TRANSAKSI'!$E$10:$E$1000,"6.1.99.05",'TRANSAKSI'!$J$10:$J$1000,8,'TRANSAKSI'!$K$10:$K$1000,TahunSel)</f>
        <v/>
      </c>
      <c r="L34" s="17">
        <f>SUMIFS('TRANSAKSI'!$H$10:$H$1000,'TRANSAKSI'!$E$10:$E$1000,"6.1.99.05",'TRANSAKSI'!$J$10:$J$1000,9,'TRANSAKSI'!$K$10:$K$1000,TahunSel)-SUMIFS('TRANSAKSI'!$I$10:$I$1000,'TRANSAKSI'!$E$10:$E$1000,"6.1.99.05",'TRANSAKSI'!$J$10:$J$1000,9,'TRANSAKSI'!$K$10:$K$1000,TahunSel)</f>
        <v/>
      </c>
      <c r="M34" s="17">
        <f>SUMIFS('TRANSAKSI'!$H$10:$H$1000,'TRANSAKSI'!$E$10:$E$1000,"6.1.99.05",'TRANSAKSI'!$J$10:$J$1000,10,'TRANSAKSI'!$K$10:$K$1000,TahunSel)-SUMIFS('TRANSAKSI'!$I$10:$I$1000,'TRANSAKSI'!$E$10:$E$1000,"6.1.99.05",'TRANSAKSI'!$J$10:$J$1000,10,'TRANSAKSI'!$K$10:$K$1000,TahunSel)</f>
        <v/>
      </c>
      <c r="N34" s="17">
        <f>SUMIFS('TRANSAKSI'!$H$10:$H$1000,'TRANSAKSI'!$E$10:$E$1000,"6.1.99.05",'TRANSAKSI'!$J$10:$J$1000,11,'TRANSAKSI'!$K$10:$K$1000,TahunSel)-SUMIFS('TRANSAKSI'!$I$10:$I$1000,'TRANSAKSI'!$E$10:$E$1000,"6.1.99.05",'TRANSAKSI'!$J$10:$J$1000,11,'TRANSAKSI'!$K$10:$K$1000,TahunSel)</f>
        <v/>
      </c>
      <c r="O34" s="17">
        <f>SUMIFS('TRANSAKSI'!$H$10:$H$1000,'TRANSAKSI'!$E$10:$E$1000,"6.1.99.05",'TRANSAKSI'!$J$10:$J$1000,12,'TRANSAKSI'!$K$10:$K$1000,TahunSel)-SUMIFS('TRANSAKSI'!$I$10:$I$1000,'TRANSAKSI'!$E$10:$E$1000,"6.1.99.05",'TRANSAKSI'!$J$10:$J$1000,12,'TRANSAKSI'!$K$10:$K$1000,TahunSel)</f>
        <v/>
      </c>
      <c r="P34" s="17">
        <f>SUM(D34:O34)</f>
        <v/>
      </c>
    </row>
    <row r="35">
      <c r="A35" s="20" t="inlineStr">
        <is>
          <t>6.2.01.03</t>
        </is>
      </c>
      <c r="B35" s="4" t="inlineStr">
        <is>
          <t>Beban Gaji Penasihat</t>
        </is>
      </c>
      <c r="C35" s="4" t="inlineStr">
        <is>
          <t>Beban</t>
        </is>
      </c>
      <c r="D35" s="9">
        <f>SUMIFS('TRANSAKSI'!$H$10:$H$1000,'TRANSAKSI'!$E$10:$E$1000,"6.2.01.03",'TRANSAKSI'!$J$10:$J$1000,1,'TRANSAKSI'!$K$10:$K$1000,TahunSel)-SUMIFS('TRANSAKSI'!$I$10:$I$1000,'TRANSAKSI'!$E$10:$E$1000,"6.2.01.03",'TRANSAKSI'!$J$10:$J$1000,1,'TRANSAKSI'!$K$10:$K$1000,TahunSel)</f>
        <v/>
      </c>
      <c r="E35" s="9">
        <f>SUMIFS('TRANSAKSI'!$H$10:$H$1000,'TRANSAKSI'!$E$10:$E$1000,"6.2.01.03",'TRANSAKSI'!$J$10:$J$1000,2,'TRANSAKSI'!$K$10:$K$1000,TahunSel)-SUMIFS('TRANSAKSI'!$I$10:$I$1000,'TRANSAKSI'!$E$10:$E$1000,"6.2.01.03",'TRANSAKSI'!$J$10:$J$1000,2,'TRANSAKSI'!$K$10:$K$1000,TahunSel)</f>
        <v/>
      </c>
      <c r="F35" s="9">
        <f>SUMIFS('TRANSAKSI'!$H$10:$H$1000,'TRANSAKSI'!$E$10:$E$1000,"6.2.01.03",'TRANSAKSI'!$J$10:$J$1000,3,'TRANSAKSI'!$K$10:$K$1000,TahunSel)-SUMIFS('TRANSAKSI'!$I$10:$I$1000,'TRANSAKSI'!$E$10:$E$1000,"6.2.01.03",'TRANSAKSI'!$J$10:$J$1000,3,'TRANSAKSI'!$K$10:$K$1000,TahunSel)</f>
        <v/>
      </c>
      <c r="G35" s="9">
        <f>SUMIFS('TRANSAKSI'!$H$10:$H$1000,'TRANSAKSI'!$E$10:$E$1000,"6.2.01.03",'TRANSAKSI'!$J$10:$J$1000,4,'TRANSAKSI'!$K$10:$K$1000,TahunSel)-SUMIFS('TRANSAKSI'!$I$10:$I$1000,'TRANSAKSI'!$E$10:$E$1000,"6.2.01.03",'TRANSAKSI'!$J$10:$J$1000,4,'TRANSAKSI'!$K$10:$K$1000,TahunSel)</f>
        <v/>
      </c>
      <c r="H35" s="9">
        <f>SUMIFS('TRANSAKSI'!$H$10:$H$1000,'TRANSAKSI'!$E$10:$E$1000,"6.2.01.03",'TRANSAKSI'!$J$10:$J$1000,5,'TRANSAKSI'!$K$10:$K$1000,TahunSel)-SUMIFS('TRANSAKSI'!$I$10:$I$1000,'TRANSAKSI'!$E$10:$E$1000,"6.2.01.03",'TRANSAKSI'!$J$10:$J$1000,5,'TRANSAKSI'!$K$10:$K$1000,TahunSel)</f>
        <v/>
      </c>
      <c r="I35" s="9">
        <f>SUMIFS('TRANSAKSI'!$H$10:$H$1000,'TRANSAKSI'!$E$10:$E$1000,"6.2.01.03",'TRANSAKSI'!$J$10:$J$1000,6,'TRANSAKSI'!$K$10:$K$1000,TahunSel)-SUMIFS('TRANSAKSI'!$I$10:$I$1000,'TRANSAKSI'!$E$10:$E$1000,"6.2.01.03",'TRANSAKSI'!$J$10:$J$1000,6,'TRANSAKSI'!$K$10:$K$1000,TahunSel)</f>
        <v/>
      </c>
      <c r="J35" s="9">
        <f>SUMIFS('TRANSAKSI'!$H$10:$H$1000,'TRANSAKSI'!$E$10:$E$1000,"6.2.01.03",'TRANSAKSI'!$J$10:$J$1000,7,'TRANSAKSI'!$K$10:$K$1000,TahunSel)-SUMIFS('TRANSAKSI'!$I$10:$I$1000,'TRANSAKSI'!$E$10:$E$1000,"6.2.01.03",'TRANSAKSI'!$J$10:$J$1000,7,'TRANSAKSI'!$K$10:$K$1000,TahunSel)</f>
        <v/>
      </c>
      <c r="K35" s="9">
        <f>SUMIFS('TRANSAKSI'!$H$10:$H$1000,'TRANSAKSI'!$E$10:$E$1000,"6.2.01.03",'TRANSAKSI'!$J$10:$J$1000,8,'TRANSAKSI'!$K$10:$K$1000,TahunSel)-SUMIFS('TRANSAKSI'!$I$10:$I$1000,'TRANSAKSI'!$E$10:$E$1000,"6.2.01.03",'TRANSAKSI'!$J$10:$J$1000,8,'TRANSAKSI'!$K$10:$K$1000,TahunSel)</f>
        <v/>
      </c>
      <c r="L35" s="9">
        <f>SUMIFS('TRANSAKSI'!$H$10:$H$1000,'TRANSAKSI'!$E$10:$E$1000,"6.2.01.03",'TRANSAKSI'!$J$10:$J$1000,9,'TRANSAKSI'!$K$10:$K$1000,TahunSel)-SUMIFS('TRANSAKSI'!$I$10:$I$1000,'TRANSAKSI'!$E$10:$E$1000,"6.2.01.03",'TRANSAKSI'!$J$10:$J$1000,9,'TRANSAKSI'!$K$10:$K$1000,TahunSel)</f>
        <v/>
      </c>
      <c r="M35" s="9">
        <f>SUMIFS('TRANSAKSI'!$H$10:$H$1000,'TRANSAKSI'!$E$10:$E$1000,"6.2.01.03",'TRANSAKSI'!$J$10:$J$1000,10,'TRANSAKSI'!$K$10:$K$1000,TahunSel)-SUMIFS('TRANSAKSI'!$I$10:$I$1000,'TRANSAKSI'!$E$10:$E$1000,"6.2.01.03",'TRANSAKSI'!$J$10:$J$1000,10,'TRANSAKSI'!$K$10:$K$1000,TahunSel)</f>
        <v/>
      </c>
      <c r="N35" s="9">
        <f>SUMIFS('TRANSAKSI'!$H$10:$H$1000,'TRANSAKSI'!$E$10:$E$1000,"6.2.01.03",'TRANSAKSI'!$J$10:$J$1000,11,'TRANSAKSI'!$K$10:$K$1000,TahunSel)-SUMIFS('TRANSAKSI'!$I$10:$I$1000,'TRANSAKSI'!$E$10:$E$1000,"6.2.01.03",'TRANSAKSI'!$J$10:$J$1000,11,'TRANSAKSI'!$K$10:$K$1000,TahunSel)</f>
        <v/>
      </c>
      <c r="O35" s="9">
        <f>SUMIFS('TRANSAKSI'!$H$10:$H$1000,'TRANSAKSI'!$E$10:$E$1000,"6.2.01.03",'TRANSAKSI'!$J$10:$J$1000,12,'TRANSAKSI'!$K$10:$K$1000,TahunSel)-SUMIFS('TRANSAKSI'!$I$10:$I$1000,'TRANSAKSI'!$E$10:$E$1000,"6.2.01.03",'TRANSAKSI'!$J$10:$J$1000,12,'TRANSAKSI'!$K$10:$K$1000,TahunSel)</f>
        <v/>
      </c>
      <c r="P35" s="9">
        <f>SUM(D35:O35)</f>
        <v/>
      </c>
    </row>
    <row r="36">
      <c r="A36" s="16" t="inlineStr">
        <is>
          <t>6.2.01.04</t>
        </is>
      </c>
      <c r="B36" s="15" t="inlineStr">
        <is>
          <t>Beban Gaji Pengawas</t>
        </is>
      </c>
      <c r="C36" s="15" t="inlineStr">
        <is>
          <t>Beban</t>
        </is>
      </c>
      <c r="D36" s="17">
        <f>SUMIFS('TRANSAKSI'!$H$10:$H$1000,'TRANSAKSI'!$E$10:$E$1000,"6.2.01.04",'TRANSAKSI'!$J$10:$J$1000,1,'TRANSAKSI'!$K$10:$K$1000,TahunSel)-SUMIFS('TRANSAKSI'!$I$10:$I$1000,'TRANSAKSI'!$E$10:$E$1000,"6.2.01.04",'TRANSAKSI'!$J$10:$J$1000,1,'TRANSAKSI'!$K$10:$K$1000,TahunSel)</f>
        <v/>
      </c>
      <c r="E36" s="17">
        <f>SUMIFS('TRANSAKSI'!$H$10:$H$1000,'TRANSAKSI'!$E$10:$E$1000,"6.2.01.04",'TRANSAKSI'!$J$10:$J$1000,2,'TRANSAKSI'!$K$10:$K$1000,TahunSel)-SUMIFS('TRANSAKSI'!$I$10:$I$1000,'TRANSAKSI'!$E$10:$E$1000,"6.2.01.04",'TRANSAKSI'!$J$10:$J$1000,2,'TRANSAKSI'!$K$10:$K$1000,TahunSel)</f>
        <v/>
      </c>
      <c r="F36" s="17">
        <f>SUMIFS('TRANSAKSI'!$H$10:$H$1000,'TRANSAKSI'!$E$10:$E$1000,"6.2.01.04",'TRANSAKSI'!$J$10:$J$1000,3,'TRANSAKSI'!$K$10:$K$1000,TahunSel)-SUMIFS('TRANSAKSI'!$I$10:$I$1000,'TRANSAKSI'!$E$10:$E$1000,"6.2.01.04",'TRANSAKSI'!$J$10:$J$1000,3,'TRANSAKSI'!$K$10:$K$1000,TahunSel)</f>
        <v/>
      </c>
      <c r="G36" s="17">
        <f>SUMIFS('TRANSAKSI'!$H$10:$H$1000,'TRANSAKSI'!$E$10:$E$1000,"6.2.01.04",'TRANSAKSI'!$J$10:$J$1000,4,'TRANSAKSI'!$K$10:$K$1000,TahunSel)-SUMIFS('TRANSAKSI'!$I$10:$I$1000,'TRANSAKSI'!$E$10:$E$1000,"6.2.01.04",'TRANSAKSI'!$J$10:$J$1000,4,'TRANSAKSI'!$K$10:$K$1000,TahunSel)</f>
        <v/>
      </c>
      <c r="H36" s="17">
        <f>SUMIFS('TRANSAKSI'!$H$10:$H$1000,'TRANSAKSI'!$E$10:$E$1000,"6.2.01.04",'TRANSAKSI'!$J$10:$J$1000,5,'TRANSAKSI'!$K$10:$K$1000,TahunSel)-SUMIFS('TRANSAKSI'!$I$10:$I$1000,'TRANSAKSI'!$E$10:$E$1000,"6.2.01.04",'TRANSAKSI'!$J$10:$J$1000,5,'TRANSAKSI'!$K$10:$K$1000,TahunSel)</f>
        <v/>
      </c>
      <c r="I36" s="17">
        <f>SUMIFS('TRANSAKSI'!$H$10:$H$1000,'TRANSAKSI'!$E$10:$E$1000,"6.2.01.04",'TRANSAKSI'!$J$10:$J$1000,6,'TRANSAKSI'!$K$10:$K$1000,TahunSel)-SUMIFS('TRANSAKSI'!$I$10:$I$1000,'TRANSAKSI'!$E$10:$E$1000,"6.2.01.04",'TRANSAKSI'!$J$10:$J$1000,6,'TRANSAKSI'!$K$10:$K$1000,TahunSel)</f>
        <v/>
      </c>
      <c r="J36" s="17">
        <f>SUMIFS('TRANSAKSI'!$H$10:$H$1000,'TRANSAKSI'!$E$10:$E$1000,"6.2.01.04",'TRANSAKSI'!$J$10:$J$1000,7,'TRANSAKSI'!$K$10:$K$1000,TahunSel)-SUMIFS('TRANSAKSI'!$I$10:$I$1000,'TRANSAKSI'!$E$10:$E$1000,"6.2.01.04",'TRANSAKSI'!$J$10:$J$1000,7,'TRANSAKSI'!$K$10:$K$1000,TahunSel)</f>
        <v/>
      </c>
      <c r="K36" s="17">
        <f>SUMIFS('TRANSAKSI'!$H$10:$H$1000,'TRANSAKSI'!$E$10:$E$1000,"6.2.01.04",'TRANSAKSI'!$J$10:$J$1000,8,'TRANSAKSI'!$K$10:$K$1000,TahunSel)-SUMIFS('TRANSAKSI'!$I$10:$I$1000,'TRANSAKSI'!$E$10:$E$1000,"6.2.01.04",'TRANSAKSI'!$J$10:$J$1000,8,'TRANSAKSI'!$K$10:$K$1000,TahunSel)</f>
        <v/>
      </c>
      <c r="L36" s="17">
        <f>SUMIFS('TRANSAKSI'!$H$10:$H$1000,'TRANSAKSI'!$E$10:$E$1000,"6.2.01.04",'TRANSAKSI'!$J$10:$J$1000,9,'TRANSAKSI'!$K$10:$K$1000,TahunSel)-SUMIFS('TRANSAKSI'!$I$10:$I$1000,'TRANSAKSI'!$E$10:$E$1000,"6.2.01.04",'TRANSAKSI'!$J$10:$J$1000,9,'TRANSAKSI'!$K$10:$K$1000,TahunSel)</f>
        <v/>
      </c>
      <c r="M36" s="17">
        <f>SUMIFS('TRANSAKSI'!$H$10:$H$1000,'TRANSAKSI'!$E$10:$E$1000,"6.2.01.04",'TRANSAKSI'!$J$10:$J$1000,10,'TRANSAKSI'!$K$10:$K$1000,TahunSel)-SUMIFS('TRANSAKSI'!$I$10:$I$1000,'TRANSAKSI'!$E$10:$E$1000,"6.2.01.04",'TRANSAKSI'!$J$10:$J$1000,10,'TRANSAKSI'!$K$10:$K$1000,TahunSel)</f>
        <v/>
      </c>
      <c r="N36" s="17">
        <f>SUMIFS('TRANSAKSI'!$H$10:$H$1000,'TRANSAKSI'!$E$10:$E$1000,"6.2.01.04",'TRANSAKSI'!$J$10:$J$1000,11,'TRANSAKSI'!$K$10:$K$1000,TahunSel)-SUMIFS('TRANSAKSI'!$I$10:$I$1000,'TRANSAKSI'!$E$10:$E$1000,"6.2.01.04",'TRANSAKSI'!$J$10:$J$1000,11,'TRANSAKSI'!$K$10:$K$1000,TahunSel)</f>
        <v/>
      </c>
      <c r="O36" s="17">
        <f>SUMIFS('TRANSAKSI'!$H$10:$H$1000,'TRANSAKSI'!$E$10:$E$1000,"6.2.01.04",'TRANSAKSI'!$J$10:$J$1000,12,'TRANSAKSI'!$K$10:$K$1000,TahunSel)-SUMIFS('TRANSAKSI'!$I$10:$I$1000,'TRANSAKSI'!$E$10:$E$1000,"6.2.01.04",'TRANSAKSI'!$J$10:$J$1000,12,'TRANSAKSI'!$K$10:$K$1000,TahunSel)</f>
        <v/>
      </c>
      <c r="P36" s="17">
        <f>SUM(D36:O36)</f>
        <v/>
      </c>
    </row>
    <row r="37">
      <c r="A37" s="20" t="inlineStr">
        <is>
          <t>6.2.01.05</t>
        </is>
      </c>
      <c r="B37" s="4" t="inlineStr">
        <is>
          <t>Beban Gaji Direktur</t>
        </is>
      </c>
      <c r="C37" s="4" t="inlineStr">
        <is>
          <t>Beban</t>
        </is>
      </c>
      <c r="D37" s="9">
        <f>SUMIFS('TRANSAKSI'!$H$10:$H$1000,'TRANSAKSI'!$E$10:$E$1000,"6.2.01.05",'TRANSAKSI'!$J$10:$J$1000,1,'TRANSAKSI'!$K$10:$K$1000,TahunSel)-SUMIFS('TRANSAKSI'!$I$10:$I$1000,'TRANSAKSI'!$E$10:$E$1000,"6.2.01.05",'TRANSAKSI'!$J$10:$J$1000,1,'TRANSAKSI'!$K$10:$K$1000,TahunSel)</f>
        <v/>
      </c>
      <c r="E37" s="9">
        <f>SUMIFS('TRANSAKSI'!$H$10:$H$1000,'TRANSAKSI'!$E$10:$E$1000,"6.2.01.05",'TRANSAKSI'!$J$10:$J$1000,2,'TRANSAKSI'!$K$10:$K$1000,TahunSel)-SUMIFS('TRANSAKSI'!$I$10:$I$1000,'TRANSAKSI'!$E$10:$E$1000,"6.2.01.05",'TRANSAKSI'!$J$10:$J$1000,2,'TRANSAKSI'!$K$10:$K$1000,TahunSel)</f>
        <v/>
      </c>
      <c r="F37" s="9">
        <f>SUMIFS('TRANSAKSI'!$H$10:$H$1000,'TRANSAKSI'!$E$10:$E$1000,"6.2.01.05",'TRANSAKSI'!$J$10:$J$1000,3,'TRANSAKSI'!$K$10:$K$1000,TahunSel)-SUMIFS('TRANSAKSI'!$I$10:$I$1000,'TRANSAKSI'!$E$10:$E$1000,"6.2.01.05",'TRANSAKSI'!$J$10:$J$1000,3,'TRANSAKSI'!$K$10:$K$1000,TahunSel)</f>
        <v/>
      </c>
      <c r="G37" s="9">
        <f>SUMIFS('TRANSAKSI'!$H$10:$H$1000,'TRANSAKSI'!$E$10:$E$1000,"6.2.01.05",'TRANSAKSI'!$J$10:$J$1000,4,'TRANSAKSI'!$K$10:$K$1000,TahunSel)-SUMIFS('TRANSAKSI'!$I$10:$I$1000,'TRANSAKSI'!$E$10:$E$1000,"6.2.01.05",'TRANSAKSI'!$J$10:$J$1000,4,'TRANSAKSI'!$K$10:$K$1000,TahunSel)</f>
        <v/>
      </c>
      <c r="H37" s="9">
        <f>SUMIFS('TRANSAKSI'!$H$10:$H$1000,'TRANSAKSI'!$E$10:$E$1000,"6.2.01.05",'TRANSAKSI'!$J$10:$J$1000,5,'TRANSAKSI'!$K$10:$K$1000,TahunSel)-SUMIFS('TRANSAKSI'!$I$10:$I$1000,'TRANSAKSI'!$E$10:$E$1000,"6.2.01.05",'TRANSAKSI'!$J$10:$J$1000,5,'TRANSAKSI'!$K$10:$K$1000,TahunSel)</f>
        <v/>
      </c>
      <c r="I37" s="9">
        <f>SUMIFS('TRANSAKSI'!$H$10:$H$1000,'TRANSAKSI'!$E$10:$E$1000,"6.2.01.05",'TRANSAKSI'!$J$10:$J$1000,6,'TRANSAKSI'!$K$10:$K$1000,TahunSel)-SUMIFS('TRANSAKSI'!$I$10:$I$1000,'TRANSAKSI'!$E$10:$E$1000,"6.2.01.05",'TRANSAKSI'!$J$10:$J$1000,6,'TRANSAKSI'!$K$10:$K$1000,TahunSel)</f>
        <v/>
      </c>
      <c r="J37" s="9">
        <f>SUMIFS('TRANSAKSI'!$H$10:$H$1000,'TRANSAKSI'!$E$10:$E$1000,"6.2.01.05",'TRANSAKSI'!$J$10:$J$1000,7,'TRANSAKSI'!$K$10:$K$1000,TahunSel)-SUMIFS('TRANSAKSI'!$I$10:$I$1000,'TRANSAKSI'!$E$10:$E$1000,"6.2.01.05",'TRANSAKSI'!$J$10:$J$1000,7,'TRANSAKSI'!$K$10:$K$1000,TahunSel)</f>
        <v/>
      </c>
      <c r="K37" s="9">
        <f>SUMIFS('TRANSAKSI'!$H$10:$H$1000,'TRANSAKSI'!$E$10:$E$1000,"6.2.01.05",'TRANSAKSI'!$J$10:$J$1000,8,'TRANSAKSI'!$K$10:$K$1000,TahunSel)-SUMIFS('TRANSAKSI'!$I$10:$I$1000,'TRANSAKSI'!$E$10:$E$1000,"6.2.01.05",'TRANSAKSI'!$J$10:$J$1000,8,'TRANSAKSI'!$K$10:$K$1000,TahunSel)</f>
        <v/>
      </c>
      <c r="L37" s="9">
        <f>SUMIFS('TRANSAKSI'!$H$10:$H$1000,'TRANSAKSI'!$E$10:$E$1000,"6.2.01.05",'TRANSAKSI'!$J$10:$J$1000,9,'TRANSAKSI'!$K$10:$K$1000,TahunSel)-SUMIFS('TRANSAKSI'!$I$10:$I$1000,'TRANSAKSI'!$E$10:$E$1000,"6.2.01.05",'TRANSAKSI'!$J$10:$J$1000,9,'TRANSAKSI'!$K$10:$K$1000,TahunSel)</f>
        <v/>
      </c>
      <c r="M37" s="9">
        <f>SUMIFS('TRANSAKSI'!$H$10:$H$1000,'TRANSAKSI'!$E$10:$E$1000,"6.2.01.05",'TRANSAKSI'!$J$10:$J$1000,10,'TRANSAKSI'!$K$10:$K$1000,TahunSel)-SUMIFS('TRANSAKSI'!$I$10:$I$1000,'TRANSAKSI'!$E$10:$E$1000,"6.2.01.05",'TRANSAKSI'!$J$10:$J$1000,10,'TRANSAKSI'!$K$10:$K$1000,TahunSel)</f>
        <v/>
      </c>
      <c r="N37" s="9">
        <f>SUMIFS('TRANSAKSI'!$H$10:$H$1000,'TRANSAKSI'!$E$10:$E$1000,"6.2.01.05",'TRANSAKSI'!$J$10:$J$1000,11,'TRANSAKSI'!$K$10:$K$1000,TahunSel)-SUMIFS('TRANSAKSI'!$I$10:$I$1000,'TRANSAKSI'!$E$10:$E$1000,"6.2.01.05",'TRANSAKSI'!$J$10:$J$1000,11,'TRANSAKSI'!$K$10:$K$1000,TahunSel)</f>
        <v/>
      </c>
      <c r="O37" s="9">
        <f>SUMIFS('TRANSAKSI'!$H$10:$H$1000,'TRANSAKSI'!$E$10:$E$1000,"6.2.01.05",'TRANSAKSI'!$J$10:$J$1000,12,'TRANSAKSI'!$K$10:$K$1000,TahunSel)-SUMIFS('TRANSAKSI'!$I$10:$I$1000,'TRANSAKSI'!$E$10:$E$1000,"6.2.01.05",'TRANSAKSI'!$J$10:$J$1000,12,'TRANSAKSI'!$K$10:$K$1000,TahunSel)</f>
        <v/>
      </c>
      <c r="P37" s="9">
        <f>SUM(D37:O37)</f>
        <v/>
      </c>
    </row>
    <row r="38">
      <c r="A38" s="16" t="inlineStr">
        <is>
          <t>6.2.01.07</t>
        </is>
      </c>
      <c r="B38" s="15" t="inlineStr">
        <is>
          <t>Beban Gaji Bendahara</t>
        </is>
      </c>
      <c r="C38" s="15" t="inlineStr">
        <is>
          <t>Beban</t>
        </is>
      </c>
      <c r="D38" s="17">
        <f>SUMIFS('TRANSAKSI'!$H$10:$H$1000,'TRANSAKSI'!$E$10:$E$1000,"6.2.01.07",'TRANSAKSI'!$J$10:$J$1000,1,'TRANSAKSI'!$K$10:$K$1000,TahunSel)-SUMIFS('TRANSAKSI'!$I$10:$I$1000,'TRANSAKSI'!$E$10:$E$1000,"6.2.01.07",'TRANSAKSI'!$J$10:$J$1000,1,'TRANSAKSI'!$K$10:$K$1000,TahunSel)</f>
        <v/>
      </c>
      <c r="E38" s="17">
        <f>SUMIFS('TRANSAKSI'!$H$10:$H$1000,'TRANSAKSI'!$E$10:$E$1000,"6.2.01.07",'TRANSAKSI'!$J$10:$J$1000,2,'TRANSAKSI'!$K$10:$K$1000,TahunSel)-SUMIFS('TRANSAKSI'!$I$10:$I$1000,'TRANSAKSI'!$E$10:$E$1000,"6.2.01.07",'TRANSAKSI'!$J$10:$J$1000,2,'TRANSAKSI'!$K$10:$K$1000,TahunSel)</f>
        <v/>
      </c>
      <c r="F38" s="17">
        <f>SUMIFS('TRANSAKSI'!$H$10:$H$1000,'TRANSAKSI'!$E$10:$E$1000,"6.2.01.07",'TRANSAKSI'!$J$10:$J$1000,3,'TRANSAKSI'!$K$10:$K$1000,TahunSel)-SUMIFS('TRANSAKSI'!$I$10:$I$1000,'TRANSAKSI'!$E$10:$E$1000,"6.2.01.07",'TRANSAKSI'!$J$10:$J$1000,3,'TRANSAKSI'!$K$10:$K$1000,TahunSel)</f>
        <v/>
      </c>
      <c r="G38" s="17">
        <f>SUMIFS('TRANSAKSI'!$H$10:$H$1000,'TRANSAKSI'!$E$10:$E$1000,"6.2.01.07",'TRANSAKSI'!$J$10:$J$1000,4,'TRANSAKSI'!$K$10:$K$1000,TahunSel)-SUMIFS('TRANSAKSI'!$I$10:$I$1000,'TRANSAKSI'!$E$10:$E$1000,"6.2.01.07",'TRANSAKSI'!$J$10:$J$1000,4,'TRANSAKSI'!$K$10:$K$1000,TahunSel)</f>
        <v/>
      </c>
      <c r="H38" s="17">
        <f>SUMIFS('TRANSAKSI'!$H$10:$H$1000,'TRANSAKSI'!$E$10:$E$1000,"6.2.01.07",'TRANSAKSI'!$J$10:$J$1000,5,'TRANSAKSI'!$K$10:$K$1000,TahunSel)-SUMIFS('TRANSAKSI'!$I$10:$I$1000,'TRANSAKSI'!$E$10:$E$1000,"6.2.01.07",'TRANSAKSI'!$J$10:$J$1000,5,'TRANSAKSI'!$K$10:$K$1000,TahunSel)</f>
        <v/>
      </c>
      <c r="I38" s="17">
        <f>SUMIFS('TRANSAKSI'!$H$10:$H$1000,'TRANSAKSI'!$E$10:$E$1000,"6.2.01.07",'TRANSAKSI'!$J$10:$J$1000,6,'TRANSAKSI'!$K$10:$K$1000,TahunSel)-SUMIFS('TRANSAKSI'!$I$10:$I$1000,'TRANSAKSI'!$E$10:$E$1000,"6.2.01.07",'TRANSAKSI'!$J$10:$J$1000,6,'TRANSAKSI'!$K$10:$K$1000,TahunSel)</f>
        <v/>
      </c>
      <c r="J38" s="17">
        <f>SUMIFS('TRANSAKSI'!$H$10:$H$1000,'TRANSAKSI'!$E$10:$E$1000,"6.2.01.07",'TRANSAKSI'!$J$10:$J$1000,7,'TRANSAKSI'!$K$10:$K$1000,TahunSel)-SUMIFS('TRANSAKSI'!$I$10:$I$1000,'TRANSAKSI'!$E$10:$E$1000,"6.2.01.07",'TRANSAKSI'!$J$10:$J$1000,7,'TRANSAKSI'!$K$10:$K$1000,TahunSel)</f>
        <v/>
      </c>
      <c r="K38" s="17">
        <f>SUMIFS('TRANSAKSI'!$H$10:$H$1000,'TRANSAKSI'!$E$10:$E$1000,"6.2.01.07",'TRANSAKSI'!$J$10:$J$1000,8,'TRANSAKSI'!$K$10:$K$1000,TahunSel)-SUMIFS('TRANSAKSI'!$I$10:$I$1000,'TRANSAKSI'!$E$10:$E$1000,"6.2.01.07",'TRANSAKSI'!$J$10:$J$1000,8,'TRANSAKSI'!$K$10:$K$1000,TahunSel)</f>
        <v/>
      </c>
      <c r="L38" s="17">
        <f>SUMIFS('TRANSAKSI'!$H$10:$H$1000,'TRANSAKSI'!$E$10:$E$1000,"6.2.01.07",'TRANSAKSI'!$J$10:$J$1000,9,'TRANSAKSI'!$K$10:$K$1000,TahunSel)-SUMIFS('TRANSAKSI'!$I$10:$I$1000,'TRANSAKSI'!$E$10:$E$1000,"6.2.01.07",'TRANSAKSI'!$J$10:$J$1000,9,'TRANSAKSI'!$K$10:$K$1000,TahunSel)</f>
        <v/>
      </c>
      <c r="M38" s="17">
        <f>SUMIFS('TRANSAKSI'!$H$10:$H$1000,'TRANSAKSI'!$E$10:$E$1000,"6.2.01.07",'TRANSAKSI'!$J$10:$J$1000,10,'TRANSAKSI'!$K$10:$K$1000,TahunSel)-SUMIFS('TRANSAKSI'!$I$10:$I$1000,'TRANSAKSI'!$E$10:$E$1000,"6.2.01.07",'TRANSAKSI'!$J$10:$J$1000,10,'TRANSAKSI'!$K$10:$K$1000,TahunSel)</f>
        <v/>
      </c>
      <c r="N38" s="17">
        <f>SUMIFS('TRANSAKSI'!$H$10:$H$1000,'TRANSAKSI'!$E$10:$E$1000,"6.2.01.07",'TRANSAKSI'!$J$10:$J$1000,11,'TRANSAKSI'!$K$10:$K$1000,TahunSel)-SUMIFS('TRANSAKSI'!$I$10:$I$1000,'TRANSAKSI'!$E$10:$E$1000,"6.2.01.07",'TRANSAKSI'!$J$10:$J$1000,11,'TRANSAKSI'!$K$10:$K$1000,TahunSel)</f>
        <v/>
      </c>
      <c r="O38" s="17">
        <f>SUMIFS('TRANSAKSI'!$H$10:$H$1000,'TRANSAKSI'!$E$10:$E$1000,"6.2.01.07",'TRANSAKSI'!$J$10:$J$1000,12,'TRANSAKSI'!$K$10:$K$1000,TahunSel)-SUMIFS('TRANSAKSI'!$I$10:$I$1000,'TRANSAKSI'!$E$10:$E$1000,"6.2.01.07",'TRANSAKSI'!$J$10:$J$1000,12,'TRANSAKSI'!$K$10:$K$1000,TahunSel)</f>
        <v/>
      </c>
      <c r="P38" s="17">
        <f>SUM(D38:O38)</f>
        <v/>
      </c>
    </row>
    <row r="39">
      <c r="A39" s="20" t="inlineStr">
        <is>
          <t>6.2.02.02</t>
        </is>
      </c>
      <c r="B39" s="4" t="inlineStr">
        <is>
          <t>Beban Perbaikan dan Renovasi</t>
        </is>
      </c>
      <c r="C39" s="4" t="inlineStr">
        <is>
          <t>Beban</t>
        </is>
      </c>
      <c r="D39" s="9">
        <f>SUMIFS('TRANSAKSI'!$H$10:$H$1000,'TRANSAKSI'!$E$10:$E$1000,"6.2.02.02",'TRANSAKSI'!$J$10:$J$1000,1,'TRANSAKSI'!$K$10:$K$1000,TahunSel)-SUMIFS('TRANSAKSI'!$I$10:$I$1000,'TRANSAKSI'!$E$10:$E$1000,"6.2.02.02",'TRANSAKSI'!$J$10:$J$1000,1,'TRANSAKSI'!$K$10:$K$1000,TahunSel)</f>
        <v/>
      </c>
      <c r="E39" s="9">
        <f>SUMIFS('TRANSAKSI'!$H$10:$H$1000,'TRANSAKSI'!$E$10:$E$1000,"6.2.02.02",'TRANSAKSI'!$J$10:$J$1000,2,'TRANSAKSI'!$K$10:$K$1000,TahunSel)-SUMIFS('TRANSAKSI'!$I$10:$I$1000,'TRANSAKSI'!$E$10:$E$1000,"6.2.02.02",'TRANSAKSI'!$J$10:$J$1000,2,'TRANSAKSI'!$K$10:$K$1000,TahunSel)</f>
        <v/>
      </c>
      <c r="F39" s="9">
        <f>SUMIFS('TRANSAKSI'!$H$10:$H$1000,'TRANSAKSI'!$E$10:$E$1000,"6.2.02.02",'TRANSAKSI'!$J$10:$J$1000,3,'TRANSAKSI'!$K$10:$K$1000,TahunSel)-SUMIFS('TRANSAKSI'!$I$10:$I$1000,'TRANSAKSI'!$E$10:$E$1000,"6.2.02.02",'TRANSAKSI'!$J$10:$J$1000,3,'TRANSAKSI'!$K$10:$K$1000,TahunSel)</f>
        <v/>
      </c>
      <c r="G39" s="9">
        <f>SUMIFS('TRANSAKSI'!$H$10:$H$1000,'TRANSAKSI'!$E$10:$E$1000,"6.2.02.02",'TRANSAKSI'!$J$10:$J$1000,4,'TRANSAKSI'!$K$10:$K$1000,TahunSel)-SUMIFS('TRANSAKSI'!$I$10:$I$1000,'TRANSAKSI'!$E$10:$E$1000,"6.2.02.02",'TRANSAKSI'!$J$10:$J$1000,4,'TRANSAKSI'!$K$10:$K$1000,TahunSel)</f>
        <v/>
      </c>
      <c r="H39" s="9">
        <f>SUMIFS('TRANSAKSI'!$H$10:$H$1000,'TRANSAKSI'!$E$10:$E$1000,"6.2.02.02",'TRANSAKSI'!$J$10:$J$1000,5,'TRANSAKSI'!$K$10:$K$1000,TahunSel)-SUMIFS('TRANSAKSI'!$I$10:$I$1000,'TRANSAKSI'!$E$10:$E$1000,"6.2.02.02",'TRANSAKSI'!$J$10:$J$1000,5,'TRANSAKSI'!$K$10:$K$1000,TahunSel)</f>
        <v/>
      </c>
      <c r="I39" s="9">
        <f>SUMIFS('TRANSAKSI'!$H$10:$H$1000,'TRANSAKSI'!$E$10:$E$1000,"6.2.02.02",'TRANSAKSI'!$J$10:$J$1000,6,'TRANSAKSI'!$K$10:$K$1000,TahunSel)-SUMIFS('TRANSAKSI'!$I$10:$I$1000,'TRANSAKSI'!$E$10:$E$1000,"6.2.02.02",'TRANSAKSI'!$J$10:$J$1000,6,'TRANSAKSI'!$K$10:$K$1000,TahunSel)</f>
        <v/>
      </c>
      <c r="J39" s="9">
        <f>SUMIFS('TRANSAKSI'!$H$10:$H$1000,'TRANSAKSI'!$E$10:$E$1000,"6.2.02.02",'TRANSAKSI'!$J$10:$J$1000,7,'TRANSAKSI'!$K$10:$K$1000,TahunSel)-SUMIFS('TRANSAKSI'!$I$10:$I$1000,'TRANSAKSI'!$E$10:$E$1000,"6.2.02.02",'TRANSAKSI'!$J$10:$J$1000,7,'TRANSAKSI'!$K$10:$K$1000,TahunSel)</f>
        <v/>
      </c>
      <c r="K39" s="9">
        <f>SUMIFS('TRANSAKSI'!$H$10:$H$1000,'TRANSAKSI'!$E$10:$E$1000,"6.2.02.02",'TRANSAKSI'!$J$10:$J$1000,8,'TRANSAKSI'!$K$10:$K$1000,TahunSel)-SUMIFS('TRANSAKSI'!$I$10:$I$1000,'TRANSAKSI'!$E$10:$E$1000,"6.2.02.02",'TRANSAKSI'!$J$10:$J$1000,8,'TRANSAKSI'!$K$10:$K$1000,TahunSel)</f>
        <v/>
      </c>
      <c r="L39" s="9">
        <f>SUMIFS('TRANSAKSI'!$H$10:$H$1000,'TRANSAKSI'!$E$10:$E$1000,"6.2.02.02",'TRANSAKSI'!$J$10:$J$1000,9,'TRANSAKSI'!$K$10:$K$1000,TahunSel)-SUMIFS('TRANSAKSI'!$I$10:$I$1000,'TRANSAKSI'!$E$10:$E$1000,"6.2.02.02",'TRANSAKSI'!$J$10:$J$1000,9,'TRANSAKSI'!$K$10:$K$1000,TahunSel)</f>
        <v/>
      </c>
      <c r="M39" s="9">
        <f>SUMIFS('TRANSAKSI'!$H$10:$H$1000,'TRANSAKSI'!$E$10:$E$1000,"6.2.02.02",'TRANSAKSI'!$J$10:$J$1000,10,'TRANSAKSI'!$K$10:$K$1000,TahunSel)-SUMIFS('TRANSAKSI'!$I$10:$I$1000,'TRANSAKSI'!$E$10:$E$1000,"6.2.02.02",'TRANSAKSI'!$J$10:$J$1000,10,'TRANSAKSI'!$K$10:$K$1000,TahunSel)</f>
        <v/>
      </c>
      <c r="N39" s="9">
        <f>SUMIFS('TRANSAKSI'!$H$10:$H$1000,'TRANSAKSI'!$E$10:$E$1000,"6.2.02.02",'TRANSAKSI'!$J$10:$J$1000,11,'TRANSAKSI'!$K$10:$K$1000,TahunSel)-SUMIFS('TRANSAKSI'!$I$10:$I$1000,'TRANSAKSI'!$E$10:$E$1000,"6.2.02.02",'TRANSAKSI'!$J$10:$J$1000,11,'TRANSAKSI'!$K$10:$K$1000,TahunSel)</f>
        <v/>
      </c>
      <c r="O39" s="9">
        <f>SUMIFS('TRANSAKSI'!$H$10:$H$1000,'TRANSAKSI'!$E$10:$E$1000,"6.2.02.02",'TRANSAKSI'!$J$10:$J$1000,12,'TRANSAKSI'!$K$10:$K$1000,TahunSel)-SUMIFS('TRANSAKSI'!$I$10:$I$1000,'TRANSAKSI'!$E$10:$E$1000,"6.2.02.02",'TRANSAKSI'!$J$10:$J$1000,12,'TRANSAKSI'!$K$10:$K$1000,TahunSel)</f>
        <v/>
      </c>
      <c r="P39" s="9">
        <f>SUM(D39:O39)</f>
        <v/>
      </c>
    </row>
    <row r="40">
      <c r="A40" s="16" t="inlineStr">
        <is>
          <t>6.2.99.02</t>
        </is>
      </c>
      <c r="B40" s="15" t="inlineStr">
        <is>
          <t>Beban Sewa Lokasi</t>
        </is>
      </c>
      <c r="C40" s="15" t="inlineStr">
        <is>
          <t>Beban</t>
        </is>
      </c>
      <c r="D40" s="17">
        <f>SUMIFS('TRANSAKSI'!$H$10:$H$1000,'TRANSAKSI'!$E$10:$E$1000,"6.2.99.02",'TRANSAKSI'!$J$10:$J$1000,1,'TRANSAKSI'!$K$10:$K$1000,TahunSel)-SUMIFS('TRANSAKSI'!$I$10:$I$1000,'TRANSAKSI'!$E$10:$E$1000,"6.2.99.02",'TRANSAKSI'!$J$10:$J$1000,1,'TRANSAKSI'!$K$10:$K$1000,TahunSel)</f>
        <v/>
      </c>
      <c r="E40" s="17">
        <f>SUMIFS('TRANSAKSI'!$H$10:$H$1000,'TRANSAKSI'!$E$10:$E$1000,"6.2.99.02",'TRANSAKSI'!$J$10:$J$1000,2,'TRANSAKSI'!$K$10:$K$1000,TahunSel)-SUMIFS('TRANSAKSI'!$I$10:$I$1000,'TRANSAKSI'!$E$10:$E$1000,"6.2.99.02",'TRANSAKSI'!$J$10:$J$1000,2,'TRANSAKSI'!$K$10:$K$1000,TahunSel)</f>
        <v/>
      </c>
      <c r="F40" s="17">
        <f>SUMIFS('TRANSAKSI'!$H$10:$H$1000,'TRANSAKSI'!$E$10:$E$1000,"6.2.99.02",'TRANSAKSI'!$J$10:$J$1000,3,'TRANSAKSI'!$K$10:$K$1000,TahunSel)-SUMIFS('TRANSAKSI'!$I$10:$I$1000,'TRANSAKSI'!$E$10:$E$1000,"6.2.99.02",'TRANSAKSI'!$J$10:$J$1000,3,'TRANSAKSI'!$K$10:$K$1000,TahunSel)</f>
        <v/>
      </c>
      <c r="G40" s="17">
        <f>SUMIFS('TRANSAKSI'!$H$10:$H$1000,'TRANSAKSI'!$E$10:$E$1000,"6.2.99.02",'TRANSAKSI'!$J$10:$J$1000,4,'TRANSAKSI'!$K$10:$K$1000,TahunSel)-SUMIFS('TRANSAKSI'!$I$10:$I$1000,'TRANSAKSI'!$E$10:$E$1000,"6.2.99.02",'TRANSAKSI'!$J$10:$J$1000,4,'TRANSAKSI'!$K$10:$K$1000,TahunSel)</f>
        <v/>
      </c>
      <c r="H40" s="17">
        <f>SUMIFS('TRANSAKSI'!$H$10:$H$1000,'TRANSAKSI'!$E$10:$E$1000,"6.2.99.02",'TRANSAKSI'!$J$10:$J$1000,5,'TRANSAKSI'!$K$10:$K$1000,TahunSel)-SUMIFS('TRANSAKSI'!$I$10:$I$1000,'TRANSAKSI'!$E$10:$E$1000,"6.2.99.02",'TRANSAKSI'!$J$10:$J$1000,5,'TRANSAKSI'!$K$10:$K$1000,TahunSel)</f>
        <v/>
      </c>
      <c r="I40" s="17">
        <f>SUMIFS('TRANSAKSI'!$H$10:$H$1000,'TRANSAKSI'!$E$10:$E$1000,"6.2.99.02",'TRANSAKSI'!$J$10:$J$1000,6,'TRANSAKSI'!$K$10:$K$1000,TahunSel)-SUMIFS('TRANSAKSI'!$I$10:$I$1000,'TRANSAKSI'!$E$10:$E$1000,"6.2.99.02",'TRANSAKSI'!$J$10:$J$1000,6,'TRANSAKSI'!$K$10:$K$1000,TahunSel)</f>
        <v/>
      </c>
      <c r="J40" s="17">
        <f>SUMIFS('TRANSAKSI'!$H$10:$H$1000,'TRANSAKSI'!$E$10:$E$1000,"6.2.99.02",'TRANSAKSI'!$J$10:$J$1000,7,'TRANSAKSI'!$K$10:$K$1000,TahunSel)-SUMIFS('TRANSAKSI'!$I$10:$I$1000,'TRANSAKSI'!$E$10:$E$1000,"6.2.99.02",'TRANSAKSI'!$J$10:$J$1000,7,'TRANSAKSI'!$K$10:$K$1000,TahunSel)</f>
        <v/>
      </c>
      <c r="K40" s="17">
        <f>SUMIFS('TRANSAKSI'!$H$10:$H$1000,'TRANSAKSI'!$E$10:$E$1000,"6.2.99.02",'TRANSAKSI'!$J$10:$J$1000,8,'TRANSAKSI'!$K$10:$K$1000,TahunSel)-SUMIFS('TRANSAKSI'!$I$10:$I$1000,'TRANSAKSI'!$E$10:$E$1000,"6.2.99.02",'TRANSAKSI'!$J$10:$J$1000,8,'TRANSAKSI'!$K$10:$K$1000,TahunSel)</f>
        <v/>
      </c>
      <c r="L40" s="17">
        <f>SUMIFS('TRANSAKSI'!$H$10:$H$1000,'TRANSAKSI'!$E$10:$E$1000,"6.2.99.02",'TRANSAKSI'!$J$10:$J$1000,9,'TRANSAKSI'!$K$10:$K$1000,TahunSel)-SUMIFS('TRANSAKSI'!$I$10:$I$1000,'TRANSAKSI'!$E$10:$E$1000,"6.2.99.02",'TRANSAKSI'!$J$10:$J$1000,9,'TRANSAKSI'!$K$10:$K$1000,TahunSel)</f>
        <v/>
      </c>
      <c r="M40" s="17">
        <f>SUMIFS('TRANSAKSI'!$H$10:$H$1000,'TRANSAKSI'!$E$10:$E$1000,"6.2.99.02",'TRANSAKSI'!$J$10:$J$1000,10,'TRANSAKSI'!$K$10:$K$1000,TahunSel)-SUMIFS('TRANSAKSI'!$I$10:$I$1000,'TRANSAKSI'!$E$10:$E$1000,"6.2.99.02",'TRANSAKSI'!$J$10:$J$1000,10,'TRANSAKSI'!$K$10:$K$1000,TahunSel)</f>
        <v/>
      </c>
      <c r="N40" s="17">
        <f>SUMIFS('TRANSAKSI'!$H$10:$H$1000,'TRANSAKSI'!$E$10:$E$1000,"6.2.99.02",'TRANSAKSI'!$J$10:$J$1000,11,'TRANSAKSI'!$K$10:$K$1000,TahunSel)-SUMIFS('TRANSAKSI'!$I$10:$I$1000,'TRANSAKSI'!$E$10:$E$1000,"6.2.99.02",'TRANSAKSI'!$J$10:$J$1000,11,'TRANSAKSI'!$K$10:$K$1000,TahunSel)</f>
        <v/>
      </c>
      <c r="O40" s="17">
        <f>SUMIFS('TRANSAKSI'!$H$10:$H$1000,'TRANSAKSI'!$E$10:$E$1000,"6.2.99.02",'TRANSAKSI'!$J$10:$J$1000,12,'TRANSAKSI'!$K$10:$K$1000,TahunSel)-SUMIFS('TRANSAKSI'!$I$10:$I$1000,'TRANSAKSI'!$E$10:$E$1000,"6.2.99.02",'TRANSAKSI'!$J$10:$J$1000,12,'TRANSAKSI'!$K$10:$K$1000,TahunSel)</f>
        <v/>
      </c>
      <c r="P40" s="17">
        <f>SUM(D40:O40)</f>
        <v/>
      </c>
    </row>
    <row r="41">
      <c r="A41" s="20" t="inlineStr">
        <is>
          <t>6.2.99.04</t>
        </is>
      </c>
      <c r="B41" s="4" t="inlineStr">
        <is>
          <t>Beban Pakan Ternak</t>
        </is>
      </c>
      <c r="C41" s="4" t="inlineStr">
        <is>
          <t>Beban</t>
        </is>
      </c>
      <c r="D41" s="9">
        <f>SUMIFS('TRANSAKSI'!$H$10:$H$1000,'TRANSAKSI'!$E$10:$E$1000,"6.2.99.04",'TRANSAKSI'!$J$10:$J$1000,1,'TRANSAKSI'!$K$10:$K$1000,TahunSel)-SUMIFS('TRANSAKSI'!$I$10:$I$1000,'TRANSAKSI'!$E$10:$E$1000,"6.2.99.04",'TRANSAKSI'!$J$10:$J$1000,1,'TRANSAKSI'!$K$10:$K$1000,TahunSel)</f>
        <v/>
      </c>
      <c r="E41" s="9">
        <f>SUMIFS('TRANSAKSI'!$H$10:$H$1000,'TRANSAKSI'!$E$10:$E$1000,"6.2.99.04",'TRANSAKSI'!$J$10:$J$1000,2,'TRANSAKSI'!$K$10:$K$1000,TahunSel)-SUMIFS('TRANSAKSI'!$I$10:$I$1000,'TRANSAKSI'!$E$10:$E$1000,"6.2.99.04",'TRANSAKSI'!$J$10:$J$1000,2,'TRANSAKSI'!$K$10:$K$1000,TahunSel)</f>
        <v/>
      </c>
      <c r="F41" s="9">
        <f>SUMIFS('TRANSAKSI'!$H$10:$H$1000,'TRANSAKSI'!$E$10:$E$1000,"6.2.99.04",'TRANSAKSI'!$J$10:$J$1000,3,'TRANSAKSI'!$K$10:$K$1000,TahunSel)-SUMIFS('TRANSAKSI'!$I$10:$I$1000,'TRANSAKSI'!$E$10:$E$1000,"6.2.99.04",'TRANSAKSI'!$J$10:$J$1000,3,'TRANSAKSI'!$K$10:$K$1000,TahunSel)</f>
        <v/>
      </c>
      <c r="G41" s="9">
        <f>SUMIFS('TRANSAKSI'!$H$10:$H$1000,'TRANSAKSI'!$E$10:$E$1000,"6.2.99.04",'TRANSAKSI'!$J$10:$J$1000,4,'TRANSAKSI'!$K$10:$K$1000,TahunSel)-SUMIFS('TRANSAKSI'!$I$10:$I$1000,'TRANSAKSI'!$E$10:$E$1000,"6.2.99.04",'TRANSAKSI'!$J$10:$J$1000,4,'TRANSAKSI'!$K$10:$K$1000,TahunSel)</f>
        <v/>
      </c>
      <c r="H41" s="9">
        <f>SUMIFS('TRANSAKSI'!$H$10:$H$1000,'TRANSAKSI'!$E$10:$E$1000,"6.2.99.04",'TRANSAKSI'!$J$10:$J$1000,5,'TRANSAKSI'!$K$10:$K$1000,TahunSel)-SUMIFS('TRANSAKSI'!$I$10:$I$1000,'TRANSAKSI'!$E$10:$E$1000,"6.2.99.04",'TRANSAKSI'!$J$10:$J$1000,5,'TRANSAKSI'!$K$10:$K$1000,TahunSel)</f>
        <v/>
      </c>
      <c r="I41" s="9">
        <f>SUMIFS('TRANSAKSI'!$H$10:$H$1000,'TRANSAKSI'!$E$10:$E$1000,"6.2.99.04",'TRANSAKSI'!$J$10:$J$1000,6,'TRANSAKSI'!$K$10:$K$1000,TahunSel)-SUMIFS('TRANSAKSI'!$I$10:$I$1000,'TRANSAKSI'!$E$10:$E$1000,"6.2.99.04",'TRANSAKSI'!$J$10:$J$1000,6,'TRANSAKSI'!$K$10:$K$1000,TahunSel)</f>
        <v/>
      </c>
      <c r="J41" s="9">
        <f>SUMIFS('TRANSAKSI'!$H$10:$H$1000,'TRANSAKSI'!$E$10:$E$1000,"6.2.99.04",'TRANSAKSI'!$J$10:$J$1000,7,'TRANSAKSI'!$K$10:$K$1000,TahunSel)-SUMIFS('TRANSAKSI'!$I$10:$I$1000,'TRANSAKSI'!$E$10:$E$1000,"6.2.99.04",'TRANSAKSI'!$J$10:$J$1000,7,'TRANSAKSI'!$K$10:$K$1000,TahunSel)</f>
        <v/>
      </c>
      <c r="K41" s="9">
        <f>SUMIFS('TRANSAKSI'!$H$10:$H$1000,'TRANSAKSI'!$E$10:$E$1000,"6.2.99.04",'TRANSAKSI'!$J$10:$J$1000,8,'TRANSAKSI'!$K$10:$K$1000,TahunSel)-SUMIFS('TRANSAKSI'!$I$10:$I$1000,'TRANSAKSI'!$E$10:$E$1000,"6.2.99.04",'TRANSAKSI'!$J$10:$J$1000,8,'TRANSAKSI'!$K$10:$K$1000,TahunSel)</f>
        <v/>
      </c>
      <c r="L41" s="9">
        <f>SUMIFS('TRANSAKSI'!$H$10:$H$1000,'TRANSAKSI'!$E$10:$E$1000,"6.2.99.04",'TRANSAKSI'!$J$10:$J$1000,9,'TRANSAKSI'!$K$10:$K$1000,TahunSel)-SUMIFS('TRANSAKSI'!$I$10:$I$1000,'TRANSAKSI'!$E$10:$E$1000,"6.2.99.04",'TRANSAKSI'!$J$10:$J$1000,9,'TRANSAKSI'!$K$10:$K$1000,TahunSel)</f>
        <v/>
      </c>
      <c r="M41" s="9">
        <f>SUMIFS('TRANSAKSI'!$H$10:$H$1000,'TRANSAKSI'!$E$10:$E$1000,"6.2.99.04",'TRANSAKSI'!$J$10:$J$1000,10,'TRANSAKSI'!$K$10:$K$1000,TahunSel)-SUMIFS('TRANSAKSI'!$I$10:$I$1000,'TRANSAKSI'!$E$10:$E$1000,"6.2.99.04",'TRANSAKSI'!$J$10:$J$1000,10,'TRANSAKSI'!$K$10:$K$1000,TahunSel)</f>
        <v/>
      </c>
      <c r="N41" s="9">
        <f>SUMIFS('TRANSAKSI'!$H$10:$H$1000,'TRANSAKSI'!$E$10:$E$1000,"6.2.99.04",'TRANSAKSI'!$J$10:$J$1000,11,'TRANSAKSI'!$K$10:$K$1000,TahunSel)-SUMIFS('TRANSAKSI'!$I$10:$I$1000,'TRANSAKSI'!$E$10:$E$1000,"6.2.99.04",'TRANSAKSI'!$J$10:$J$1000,11,'TRANSAKSI'!$K$10:$K$1000,TahunSel)</f>
        <v/>
      </c>
      <c r="O41" s="9">
        <f>SUMIFS('TRANSAKSI'!$H$10:$H$1000,'TRANSAKSI'!$E$10:$E$1000,"6.2.99.04",'TRANSAKSI'!$J$10:$J$1000,12,'TRANSAKSI'!$K$10:$K$1000,TahunSel)-SUMIFS('TRANSAKSI'!$I$10:$I$1000,'TRANSAKSI'!$E$10:$E$1000,"6.2.99.04",'TRANSAKSI'!$J$10:$J$1000,12,'TRANSAKSI'!$K$10:$K$1000,TahunSel)</f>
        <v/>
      </c>
      <c r="P41" s="9">
        <f>SUM(D41:O41)</f>
        <v/>
      </c>
    </row>
    <row r="42">
      <c r="A42" s="16" t="inlineStr">
        <is>
          <t>6.2.99.05</t>
        </is>
      </c>
      <c r="B42" s="15" t="inlineStr">
        <is>
          <t>Beban Pupuk dan Obat-obatan</t>
        </is>
      </c>
      <c r="C42" s="15" t="inlineStr">
        <is>
          <t>Beban</t>
        </is>
      </c>
      <c r="D42" s="17">
        <f>SUMIFS('TRANSAKSI'!$H$10:$H$1000,'TRANSAKSI'!$E$10:$E$1000,"6.2.99.05",'TRANSAKSI'!$J$10:$J$1000,1,'TRANSAKSI'!$K$10:$K$1000,TahunSel)-SUMIFS('TRANSAKSI'!$I$10:$I$1000,'TRANSAKSI'!$E$10:$E$1000,"6.2.99.05",'TRANSAKSI'!$J$10:$J$1000,1,'TRANSAKSI'!$K$10:$K$1000,TahunSel)</f>
        <v/>
      </c>
      <c r="E42" s="17">
        <f>SUMIFS('TRANSAKSI'!$H$10:$H$1000,'TRANSAKSI'!$E$10:$E$1000,"6.2.99.05",'TRANSAKSI'!$J$10:$J$1000,2,'TRANSAKSI'!$K$10:$K$1000,TahunSel)-SUMIFS('TRANSAKSI'!$I$10:$I$1000,'TRANSAKSI'!$E$10:$E$1000,"6.2.99.05",'TRANSAKSI'!$J$10:$J$1000,2,'TRANSAKSI'!$K$10:$K$1000,TahunSel)</f>
        <v/>
      </c>
      <c r="F42" s="17">
        <f>SUMIFS('TRANSAKSI'!$H$10:$H$1000,'TRANSAKSI'!$E$10:$E$1000,"6.2.99.05",'TRANSAKSI'!$J$10:$J$1000,3,'TRANSAKSI'!$K$10:$K$1000,TahunSel)-SUMIFS('TRANSAKSI'!$I$10:$I$1000,'TRANSAKSI'!$E$10:$E$1000,"6.2.99.05",'TRANSAKSI'!$J$10:$J$1000,3,'TRANSAKSI'!$K$10:$K$1000,TahunSel)</f>
        <v/>
      </c>
      <c r="G42" s="17">
        <f>SUMIFS('TRANSAKSI'!$H$10:$H$1000,'TRANSAKSI'!$E$10:$E$1000,"6.2.99.05",'TRANSAKSI'!$J$10:$J$1000,4,'TRANSAKSI'!$K$10:$K$1000,TahunSel)-SUMIFS('TRANSAKSI'!$I$10:$I$1000,'TRANSAKSI'!$E$10:$E$1000,"6.2.99.05",'TRANSAKSI'!$J$10:$J$1000,4,'TRANSAKSI'!$K$10:$K$1000,TahunSel)</f>
        <v/>
      </c>
      <c r="H42" s="17">
        <f>SUMIFS('TRANSAKSI'!$H$10:$H$1000,'TRANSAKSI'!$E$10:$E$1000,"6.2.99.05",'TRANSAKSI'!$J$10:$J$1000,5,'TRANSAKSI'!$K$10:$K$1000,TahunSel)-SUMIFS('TRANSAKSI'!$I$10:$I$1000,'TRANSAKSI'!$E$10:$E$1000,"6.2.99.05",'TRANSAKSI'!$J$10:$J$1000,5,'TRANSAKSI'!$K$10:$K$1000,TahunSel)</f>
        <v/>
      </c>
      <c r="I42" s="17">
        <f>SUMIFS('TRANSAKSI'!$H$10:$H$1000,'TRANSAKSI'!$E$10:$E$1000,"6.2.99.05",'TRANSAKSI'!$J$10:$J$1000,6,'TRANSAKSI'!$K$10:$K$1000,TahunSel)-SUMIFS('TRANSAKSI'!$I$10:$I$1000,'TRANSAKSI'!$E$10:$E$1000,"6.2.99.05",'TRANSAKSI'!$J$10:$J$1000,6,'TRANSAKSI'!$K$10:$K$1000,TahunSel)</f>
        <v/>
      </c>
      <c r="J42" s="17">
        <f>SUMIFS('TRANSAKSI'!$H$10:$H$1000,'TRANSAKSI'!$E$10:$E$1000,"6.2.99.05",'TRANSAKSI'!$J$10:$J$1000,7,'TRANSAKSI'!$K$10:$K$1000,TahunSel)-SUMIFS('TRANSAKSI'!$I$10:$I$1000,'TRANSAKSI'!$E$10:$E$1000,"6.2.99.05",'TRANSAKSI'!$J$10:$J$1000,7,'TRANSAKSI'!$K$10:$K$1000,TahunSel)</f>
        <v/>
      </c>
      <c r="K42" s="17">
        <f>SUMIFS('TRANSAKSI'!$H$10:$H$1000,'TRANSAKSI'!$E$10:$E$1000,"6.2.99.05",'TRANSAKSI'!$J$10:$J$1000,8,'TRANSAKSI'!$K$10:$K$1000,TahunSel)-SUMIFS('TRANSAKSI'!$I$10:$I$1000,'TRANSAKSI'!$E$10:$E$1000,"6.2.99.05",'TRANSAKSI'!$J$10:$J$1000,8,'TRANSAKSI'!$K$10:$K$1000,TahunSel)</f>
        <v/>
      </c>
      <c r="L42" s="17">
        <f>SUMIFS('TRANSAKSI'!$H$10:$H$1000,'TRANSAKSI'!$E$10:$E$1000,"6.2.99.05",'TRANSAKSI'!$J$10:$J$1000,9,'TRANSAKSI'!$K$10:$K$1000,TahunSel)-SUMIFS('TRANSAKSI'!$I$10:$I$1000,'TRANSAKSI'!$E$10:$E$1000,"6.2.99.05",'TRANSAKSI'!$J$10:$J$1000,9,'TRANSAKSI'!$K$10:$K$1000,TahunSel)</f>
        <v/>
      </c>
      <c r="M42" s="17">
        <f>SUMIFS('TRANSAKSI'!$H$10:$H$1000,'TRANSAKSI'!$E$10:$E$1000,"6.2.99.05",'TRANSAKSI'!$J$10:$J$1000,10,'TRANSAKSI'!$K$10:$K$1000,TahunSel)-SUMIFS('TRANSAKSI'!$I$10:$I$1000,'TRANSAKSI'!$E$10:$E$1000,"6.2.99.05",'TRANSAKSI'!$J$10:$J$1000,10,'TRANSAKSI'!$K$10:$K$1000,TahunSel)</f>
        <v/>
      </c>
      <c r="N42" s="17">
        <f>SUMIFS('TRANSAKSI'!$H$10:$H$1000,'TRANSAKSI'!$E$10:$E$1000,"6.2.99.05",'TRANSAKSI'!$J$10:$J$1000,11,'TRANSAKSI'!$K$10:$K$1000,TahunSel)-SUMIFS('TRANSAKSI'!$I$10:$I$1000,'TRANSAKSI'!$E$10:$E$1000,"6.2.99.05",'TRANSAKSI'!$J$10:$J$1000,11,'TRANSAKSI'!$K$10:$K$1000,TahunSel)</f>
        <v/>
      </c>
      <c r="O42" s="17">
        <f>SUMIFS('TRANSAKSI'!$H$10:$H$1000,'TRANSAKSI'!$E$10:$E$1000,"6.2.99.05",'TRANSAKSI'!$J$10:$J$1000,12,'TRANSAKSI'!$K$10:$K$1000,TahunSel)-SUMIFS('TRANSAKSI'!$I$10:$I$1000,'TRANSAKSI'!$E$10:$E$1000,"6.2.99.05",'TRANSAKSI'!$J$10:$J$1000,12,'TRANSAKSI'!$K$10:$K$1000,TahunSel)</f>
        <v/>
      </c>
      <c r="P42" s="17">
        <f>SUM(D42:O42)</f>
        <v/>
      </c>
    </row>
    <row r="43">
      <c r="A43" s="20" t="inlineStr">
        <is>
          <t>6.2.99.06</t>
        </is>
      </c>
      <c r="B43" s="4" t="inlineStr">
        <is>
          <t>Beban Peralatan dan Mesin</t>
        </is>
      </c>
      <c r="C43" s="4" t="inlineStr">
        <is>
          <t>Beban</t>
        </is>
      </c>
      <c r="D43" s="9">
        <f>SUMIFS('TRANSAKSI'!$H$10:$H$1000,'TRANSAKSI'!$E$10:$E$1000,"6.2.99.06",'TRANSAKSI'!$J$10:$J$1000,1,'TRANSAKSI'!$K$10:$K$1000,TahunSel)-SUMIFS('TRANSAKSI'!$I$10:$I$1000,'TRANSAKSI'!$E$10:$E$1000,"6.2.99.06",'TRANSAKSI'!$J$10:$J$1000,1,'TRANSAKSI'!$K$10:$K$1000,TahunSel)</f>
        <v/>
      </c>
      <c r="E43" s="9">
        <f>SUMIFS('TRANSAKSI'!$H$10:$H$1000,'TRANSAKSI'!$E$10:$E$1000,"6.2.99.06",'TRANSAKSI'!$J$10:$J$1000,2,'TRANSAKSI'!$K$10:$K$1000,TahunSel)-SUMIFS('TRANSAKSI'!$I$10:$I$1000,'TRANSAKSI'!$E$10:$E$1000,"6.2.99.06",'TRANSAKSI'!$J$10:$J$1000,2,'TRANSAKSI'!$K$10:$K$1000,TahunSel)</f>
        <v/>
      </c>
      <c r="F43" s="9">
        <f>SUMIFS('TRANSAKSI'!$H$10:$H$1000,'TRANSAKSI'!$E$10:$E$1000,"6.2.99.06",'TRANSAKSI'!$J$10:$J$1000,3,'TRANSAKSI'!$K$10:$K$1000,TahunSel)-SUMIFS('TRANSAKSI'!$I$10:$I$1000,'TRANSAKSI'!$E$10:$E$1000,"6.2.99.06",'TRANSAKSI'!$J$10:$J$1000,3,'TRANSAKSI'!$K$10:$K$1000,TahunSel)</f>
        <v/>
      </c>
      <c r="G43" s="9">
        <f>SUMIFS('TRANSAKSI'!$H$10:$H$1000,'TRANSAKSI'!$E$10:$E$1000,"6.2.99.06",'TRANSAKSI'!$J$10:$J$1000,4,'TRANSAKSI'!$K$10:$K$1000,TahunSel)-SUMIFS('TRANSAKSI'!$I$10:$I$1000,'TRANSAKSI'!$E$10:$E$1000,"6.2.99.06",'TRANSAKSI'!$J$10:$J$1000,4,'TRANSAKSI'!$K$10:$K$1000,TahunSel)</f>
        <v/>
      </c>
      <c r="H43" s="9">
        <f>SUMIFS('TRANSAKSI'!$H$10:$H$1000,'TRANSAKSI'!$E$10:$E$1000,"6.2.99.06",'TRANSAKSI'!$J$10:$J$1000,5,'TRANSAKSI'!$K$10:$K$1000,TahunSel)-SUMIFS('TRANSAKSI'!$I$10:$I$1000,'TRANSAKSI'!$E$10:$E$1000,"6.2.99.06",'TRANSAKSI'!$J$10:$J$1000,5,'TRANSAKSI'!$K$10:$K$1000,TahunSel)</f>
        <v/>
      </c>
      <c r="I43" s="9">
        <f>SUMIFS('TRANSAKSI'!$H$10:$H$1000,'TRANSAKSI'!$E$10:$E$1000,"6.2.99.06",'TRANSAKSI'!$J$10:$J$1000,6,'TRANSAKSI'!$K$10:$K$1000,TahunSel)-SUMIFS('TRANSAKSI'!$I$10:$I$1000,'TRANSAKSI'!$E$10:$E$1000,"6.2.99.06",'TRANSAKSI'!$J$10:$J$1000,6,'TRANSAKSI'!$K$10:$K$1000,TahunSel)</f>
        <v/>
      </c>
      <c r="J43" s="9">
        <f>SUMIFS('TRANSAKSI'!$H$10:$H$1000,'TRANSAKSI'!$E$10:$E$1000,"6.2.99.06",'TRANSAKSI'!$J$10:$J$1000,7,'TRANSAKSI'!$K$10:$K$1000,TahunSel)-SUMIFS('TRANSAKSI'!$I$10:$I$1000,'TRANSAKSI'!$E$10:$E$1000,"6.2.99.06",'TRANSAKSI'!$J$10:$J$1000,7,'TRANSAKSI'!$K$10:$K$1000,TahunSel)</f>
        <v/>
      </c>
      <c r="K43" s="9">
        <f>SUMIFS('TRANSAKSI'!$H$10:$H$1000,'TRANSAKSI'!$E$10:$E$1000,"6.2.99.06",'TRANSAKSI'!$J$10:$J$1000,8,'TRANSAKSI'!$K$10:$K$1000,TahunSel)-SUMIFS('TRANSAKSI'!$I$10:$I$1000,'TRANSAKSI'!$E$10:$E$1000,"6.2.99.06",'TRANSAKSI'!$J$10:$J$1000,8,'TRANSAKSI'!$K$10:$K$1000,TahunSel)</f>
        <v/>
      </c>
      <c r="L43" s="9">
        <f>SUMIFS('TRANSAKSI'!$H$10:$H$1000,'TRANSAKSI'!$E$10:$E$1000,"6.2.99.06",'TRANSAKSI'!$J$10:$J$1000,9,'TRANSAKSI'!$K$10:$K$1000,TahunSel)-SUMIFS('TRANSAKSI'!$I$10:$I$1000,'TRANSAKSI'!$E$10:$E$1000,"6.2.99.06",'TRANSAKSI'!$J$10:$J$1000,9,'TRANSAKSI'!$K$10:$K$1000,TahunSel)</f>
        <v/>
      </c>
      <c r="M43" s="9">
        <f>SUMIFS('TRANSAKSI'!$H$10:$H$1000,'TRANSAKSI'!$E$10:$E$1000,"6.2.99.06",'TRANSAKSI'!$J$10:$J$1000,10,'TRANSAKSI'!$K$10:$K$1000,TahunSel)-SUMIFS('TRANSAKSI'!$I$10:$I$1000,'TRANSAKSI'!$E$10:$E$1000,"6.2.99.06",'TRANSAKSI'!$J$10:$J$1000,10,'TRANSAKSI'!$K$10:$K$1000,TahunSel)</f>
        <v/>
      </c>
      <c r="N43" s="9">
        <f>SUMIFS('TRANSAKSI'!$H$10:$H$1000,'TRANSAKSI'!$E$10:$E$1000,"6.2.99.06",'TRANSAKSI'!$J$10:$J$1000,11,'TRANSAKSI'!$K$10:$K$1000,TahunSel)-SUMIFS('TRANSAKSI'!$I$10:$I$1000,'TRANSAKSI'!$E$10:$E$1000,"6.2.99.06",'TRANSAKSI'!$J$10:$J$1000,11,'TRANSAKSI'!$K$10:$K$1000,TahunSel)</f>
        <v/>
      </c>
      <c r="O43" s="9">
        <f>SUMIFS('TRANSAKSI'!$H$10:$H$1000,'TRANSAKSI'!$E$10:$E$1000,"6.2.99.06",'TRANSAKSI'!$J$10:$J$1000,12,'TRANSAKSI'!$K$10:$K$1000,TahunSel)-SUMIFS('TRANSAKSI'!$I$10:$I$1000,'TRANSAKSI'!$E$10:$E$1000,"6.2.99.06",'TRANSAKSI'!$J$10:$J$1000,12,'TRANSAKSI'!$K$10:$K$1000,TahunSel)</f>
        <v/>
      </c>
      <c r="P43" s="9">
        <f>SUM(D43:O43)</f>
        <v/>
      </c>
    </row>
    <row r="44">
      <c r="A44" s="16" t="inlineStr">
        <is>
          <t>6.2.99.07</t>
        </is>
      </c>
      <c r="B44" s="15" t="inlineStr">
        <is>
          <t>Beban Vaksinasi dan Obat</t>
        </is>
      </c>
      <c r="C44" s="15" t="inlineStr">
        <is>
          <t>Beban</t>
        </is>
      </c>
      <c r="D44" s="17">
        <f>SUMIFS('TRANSAKSI'!$H$10:$H$1000,'TRANSAKSI'!$E$10:$E$1000,"6.2.99.07",'TRANSAKSI'!$J$10:$J$1000,1,'TRANSAKSI'!$K$10:$K$1000,TahunSel)-SUMIFS('TRANSAKSI'!$I$10:$I$1000,'TRANSAKSI'!$E$10:$E$1000,"6.2.99.07",'TRANSAKSI'!$J$10:$J$1000,1,'TRANSAKSI'!$K$10:$K$1000,TahunSel)</f>
        <v/>
      </c>
      <c r="E44" s="17">
        <f>SUMIFS('TRANSAKSI'!$H$10:$H$1000,'TRANSAKSI'!$E$10:$E$1000,"6.2.99.07",'TRANSAKSI'!$J$10:$J$1000,2,'TRANSAKSI'!$K$10:$K$1000,TahunSel)-SUMIFS('TRANSAKSI'!$I$10:$I$1000,'TRANSAKSI'!$E$10:$E$1000,"6.2.99.07",'TRANSAKSI'!$J$10:$J$1000,2,'TRANSAKSI'!$K$10:$K$1000,TahunSel)</f>
        <v/>
      </c>
      <c r="F44" s="17">
        <f>SUMIFS('TRANSAKSI'!$H$10:$H$1000,'TRANSAKSI'!$E$10:$E$1000,"6.2.99.07",'TRANSAKSI'!$J$10:$J$1000,3,'TRANSAKSI'!$K$10:$K$1000,TahunSel)-SUMIFS('TRANSAKSI'!$I$10:$I$1000,'TRANSAKSI'!$E$10:$E$1000,"6.2.99.07",'TRANSAKSI'!$J$10:$J$1000,3,'TRANSAKSI'!$K$10:$K$1000,TahunSel)</f>
        <v/>
      </c>
      <c r="G44" s="17">
        <f>SUMIFS('TRANSAKSI'!$H$10:$H$1000,'TRANSAKSI'!$E$10:$E$1000,"6.2.99.07",'TRANSAKSI'!$J$10:$J$1000,4,'TRANSAKSI'!$K$10:$K$1000,TahunSel)-SUMIFS('TRANSAKSI'!$I$10:$I$1000,'TRANSAKSI'!$E$10:$E$1000,"6.2.99.07",'TRANSAKSI'!$J$10:$J$1000,4,'TRANSAKSI'!$K$10:$K$1000,TahunSel)</f>
        <v/>
      </c>
      <c r="H44" s="17">
        <f>SUMIFS('TRANSAKSI'!$H$10:$H$1000,'TRANSAKSI'!$E$10:$E$1000,"6.2.99.07",'TRANSAKSI'!$J$10:$J$1000,5,'TRANSAKSI'!$K$10:$K$1000,TahunSel)-SUMIFS('TRANSAKSI'!$I$10:$I$1000,'TRANSAKSI'!$E$10:$E$1000,"6.2.99.07",'TRANSAKSI'!$J$10:$J$1000,5,'TRANSAKSI'!$K$10:$K$1000,TahunSel)</f>
        <v/>
      </c>
      <c r="I44" s="17">
        <f>SUMIFS('TRANSAKSI'!$H$10:$H$1000,'TRANSAKSI'!$E$10:$E$1000,"6.2.99.07",'TRANSAKSI'!$J$10:$J$1000,6,'TRANSAKSI'!$K$10:$K$1000,TahunSel)-SUMIFS('TRANSAKSI'!$I$10:$I$1000,'TRANSAKSI'!$E$10:$E$1000,"6.2.99.07",'TRANSAKSI'!$J$10:$J$1000,6,'TRANSAKSI'!$K$10:$K$1000,TahunSel)</f>
        <v/>
      </c>
      <c r="J44" s="17">
        <f>SUMIFS('TRANSAKSI'!$H$10:$H$1000,'TRANSAKSI'!$E$10:$E$1000,"6.2.99.07",'TRANSAKSI'!$J$10:$J$1000,7,'TRANSAKSI'!$K$10:$K$1000,TahunSel)-SUMIFS('TRANSAKSI'!$I$10:$I$1000,'TRANSAKSI'!$E$10:$E$1000,"6.2.99.07",'TRANSAKSI'!$J$10:$J$1000,7,'TRANSAKSI'!$K$10:$K$1000,TahunSel)</f>
        <v/>
      </c>
      <c r="K44" s="17">
        <f>SUMIFS('TRANSAKSI'!$H$10:$H$1000,'TRANSAKSI'!$E$10:$E$1000,"6.2.99.07",'TRANSAKSI'!$J$10:$J$1000,8,'TRANSAKSI'!$K$10:$K$1000,TahunSel)-SUMIFS('TRANSAKSI'!$I$10:$I$1000,'TRANSAKSI'!$E$10:$E$1000,"6.2.99.07",'TRANSAKSI'!$J$10:$J$1000,8,'TRANSAKSI'!$K$10:$K$1000,TahunSel)</f>
        <v/>
      </c>
      <c r="L44" s="17">
        <f>SUMIFS('TRANSAKSI'!$H$10:$H$1000,'TRANSAKSI'!$E$10:$E$1000,"6.2.99.07",'TRANSAKSI'!$J$10:$J$1000,9,'TRANSAKSI'!$K$10:$K$1000,TahunSel)-SUMIFS('TRANSAKSI'!$I$10:$I$1000,'TRANSAKSI'!$E$10:$E$1000,"6.2.99.07",'TRANSAKSI'!$J$10:$J$1000,9,'TRANSAKSI'!$K$10:$K$1000,TahunSel)</f>
        <v/>
      </c>
      <c r="M44" s="17">
        <f>SUMIFS('TRANSAKSI'!$H$10:$H$1000,'TRANSAKSI'!$E$10:$E$1000,"6.2.99.07",'TRANSAKSI'!$J$10:$J$1000,10,'TRANSAKSI'!$K$10:$K$1000,TahunSel)-SUMIFS('TRANSAKSI'!$I$10:$I$1000,'TRANSAKSI'!$E$10:$E$1000,"6.2.99.07",'TRANSAKSI'!$J$10:$J$1000,10,'TRANSAKSI'!$K$10:$K$1000,TahunSel)</f>
        <v/>
      </c>
      <c r="N44" s="17">
        <f>SUMIFS('TRANSAKSI'!$H$10:$H$1000,'TRANSAKSI'!$E$10:$E$1000,"6.2.99.07",'TRANSAKSI'!$J$10:$J$1000,11,'TRANSAKSI'!$K$10:$K$1000,TahunSel)-SUMIFS('TRANSAKSI'!$I$10:$I$1000,'TRANSAKSI'!$E$10:$E$1000,"6.2.99.07",'TRANSAKSI'!$J$10:$J$1000,11,'TRANSAKSI'!$K$10:$K$1000,TahunSel)</f>
        <v/>
      </c>
      <c r="O44" s="17">
        <f>SUMIFS('TRANSAKSI'!$H$10:$H$1000,'TRANSAKSI'!$E$10:$E$1000,"6.2.99.07",'TRANSAKSI'!$J$10:$J$1000,12,'TRANSAKSI'!$K$10:$K$1000,TahunSel)-SUMIFS('TRANSAKSI'!$I$10:$I$1000,'TRANSAKSI'!$E$10:$E$1000,"6.2.99.07",'TRANSAKSI'!$J$10:$J$1000,12,'TRANSAKSI'!$K$10:$K$1000,TahunSel)</f>
        <v/>
      </c>
      <c r="P44" s="17">
        <f>SUM(D44:O44)</f>
        <v/>
      </c>
    </row>
    <row r="45">
      <c r="A45" s="20" t="inlineStr">
        <is>
          <t>6.2.99.99</t>
        </is>
      </c>
      <c r="B45" s="4" t="inlineStr">
        <is>
          <t>Beban Operasional Lainnya</t>
        </is>
      </c>
      <c r="C45" s="4" t="inlineStr">
        <is>
          <t>Beban</t>
        </is>
      </c>
      <c r="D45" s="9">
        <f>SUMIFS('TRANSAKSI'!$H$10:$H$1000,'TRANSAKSI'!$E$10:$E$1000,"6.2.99.99",'TRANSAKSI'!$J$10:$J$1000,1,'TRANSAKSI'!$K$10:$K$1000,TahunSel)-SUMIFS('TRANSAKSI'!$I$10:$I$1000,'TRANSAKSI'!$E$10:$E$1000,"6.2.99.99",'TRANSAKSI'!$J$10:$J$1000,1,'TRANSAKSI'!$K$10:$K$1000,TahunSel)</f>
        <v/>
      </c>
      <c r="E45" s="9">
        <f>SUMIFS('TRANSAKSI'!$H$10:$H$1000,'TRANSAKSI'!$E$10:$E$1000,"6.2.99.99",'TRANSAKSI'!$J$10:$J$1000,2,'TRANSAKSI'!$K$10:$K$1000,TahunSel)-SUMIFS('TRANSAKSI'!$I$10:$I$1000,'TRANSAKSI'!$E$10:$E$1000,"6.2.99.99",'TRANSAKSI'!$J$10:$J$1000,2,'TRANSAKSI'!$K$10:$K$1000,TahunSel)</f>
        <v/>
      </c>
      <c r="F45" s="9">
        <f>SUMIFS('TRANSAKSI'!$H$10:$H$1000,'TRANSAKSI'!$E$10:$E$1000,"6.2.99.99",'TRANSAKSI'!$J$10:$J$1000,3,'TRANSAKSI'!$K$10:$K$1000,TahunSel)-SUMIFS('TRANSAKSI'!$I$10:$I$1000,'TRANSAKSI'!$E$10:$E$1000,"6.2.99.99",'TRANSAKSI'!$J$10:$J$1000,3,'TRANSAKSI'!$K$10:$K$1000,TahunSel)</f>
        <v/>
      </c>
      <c r="G45" s="9">
        <f>SUMIFS('TRANSAKSI'!$H$10:$H$1000,'TRANSAKSI'!$E$10:$E$1000,"6.2.99.99",'TRANSAKSI'!$J$10:$J$1000,4,'TRANSAKSI'!$K$10:$K$1000,TahunSel)-SUMIFS('TRANSAKSI'!$I$10:$I$1000,'TRANSAKSI'!$E$10:$E$1000,"6.2.99.99",'TRANSAKSI'!$J$10:$J$1000,4,'TRANSAKSI'!$K$10:$K$1000,TahunSel)</f>
        <v/>
      </c>
      <c r="H45" s="9">
        <f>SUMIFS('TRANSAKSI'!$H$10:$H$1000,'TRANSAKSI'!$E$10:$E$1000,"6.2.99.99",'TRANSAKSI'!$J$10:$J$1000,5,'TRANSAKSI'!$K$10:$K$1000,TahunSel)-SUMIFS('TRANSAKSI'!$I$10:$I$1000,'TRANSAKSI'!$E$10:$E$1000,"6.2.99.99",'TRANSAKSI'!$J$10:$J$1000,5,'TRANSAKSI'!$K$10:$K$1000,TahunSel)</f>
        <v/>
      </c>
      <c r="I45" s="9">
        <f>SUMIFS('TRANSAKSI'!$H$10:$H$1000,'TRANSAKSI'!$E$10:$E$1000,"6.2.99.99",'TRANSAKSI'!$J$10:$J$1000,6,'TRANSAKSI'!$K$10:$K$1000,TahunSel)-SUMIFS('TRANSAKSI'!$I$10:$I$1000,'TRANSAKSI'!$E$10:$E$1000,"6.2.99.99",'TRANSAKSI'!$J$10:$J$1000,6,'TRANSAKSI'!$K$10:$K$1000,TahunSel)</f>
        <v/>
      </c>
      <c r="J45" s="9">
        <f>SUMIFS('TRANSAKSI'!$H$10:$H$1000,'TRANSAKSI'!$E$10:$E$1000,"6.2.99.99",'TRANSAKSI'!$J$10:$J$1000,7,'TRANSAKSI'!$K$10:$K$1000,TahunSel)-SUMIFS('TRANSAKSI'!$I$10:$I$1000,'TRANSAKSI'!$E$10:$E$1000,"6.2.99.99",'TRANSAKSI'!$J$10:$J$1000,7,'TRANSAKSI'!$K$10:$K$1000,TahunSel)</f>
        <v/>
      </c>
      <c r="K45" s="9">
        <f>SUMIFS('TRANSAKSI'!$H$10:$H$1000,'TRANSAKSI'!$E$10:$E$1000,"6.2.99.99",'TRANSAKSI'!$J$10:$J$1000,8,'TRANSAKSI'!$K$10:$K$1000,TahunSel)-SUMIFS('TRANSAKSI'!$I$10:$I$1000,'TRANSAKSI'!$E$10:$E$1000,"6.2.99.99",'TRANSAKSI'!$J$10:$J$1000,8,'TRANSAKSI'!$K$10:$K$1000,TahunSel)</f>
        <v/>
      </c>
      <c r="L45" s="9">
        <f>SUMIFS('TRANSAKSI'!$H$10:$H$1000,'TRANSAKSI'!$E$10:$E$1000,"6.2.99.99",'TRANSAKSI'!$J$10:$J$1000,9,'TRANSAKSI'!$K$10:$K$1000,TahunSel)-SUMIFS('TRANSAKSI'!$I$10:$I$1000,'TRANSAKSI'!$E$10:$E$1000,"6.2.99.99",'TRANSAKSI'!$J$10:$J$1000,9,'TRANSAKSI'!$K$10:$K$1000,TahunSel)</f>
        <v/>
      </c>
      <c r="M45" s="9">
        <f>SUMIFS('TRANSAKSI'!$H$10:$H$1000,'TRANSAKSI'!$E$10:$E$1000,"6.2.99.99",'TRANSAKSI'!$J$10:$J$1000,10,'TRANSAKSI'!$K$10:$K$1000,TahunSel)-SUMIFS('TRANSAKSI'!$I$10:$I$1000,'TRANSAKSI'!$E$10:$E$1000,"6.2.99.99",'TRANSAKSI'!$J$10:$J$1000,10,'TRANSAKSI'!$K$10:$K$1000,TahunSel)</f>
        <v/>
      </c>
      <c r="N45" s="9">
        <f>SUMIFS('TRANSAKSI'!$H$10:$H$1000,'TRANSAKSI'!$E$10:$E$1000,"6.2.99.99",'TRANSAKSI'!$J$10:$J$1000,11,'TRANSAKSI'!$K$10:$K$1000,TahunSel)-SUMIFS('TRANSAKSI'!$I$10:$I$1000,'TRANSAKSI'!$E$10:$E$1000,"6.2.99.99",'TRANSAKSI'!$J$10:$J$1000,11,'TRANSAKSI'!$K$10:$K$1000,TahunSel)</f>
        <v/>
      </c>
      <c r="O45" s="9">
        <f>SUMIFS('TRANSAKSI'!$H$10:$H$1000,'TRANSAKSI'!$E$10:$E$1000,"6.2.99.99",'TRANSAKSI'!$J$10:$J$1000,12,'TRANSAKSI'!$K$10:$K$1000,TahunSel)-SUMIFS('TRANSAKSI'!$I$10:$I$1000,'TRANSAKSI'!$E$10:$E$1000,"6.2.99.99",'TRANSAKSI'!$J$10:$J$1000,12,'TRANSAKSI'!$K$10:$K$1000,TahunSel)</f>
        <v/>
      </c>
      <c r="P45" s="9">
        <f>SUM(D45:O45)</f>
        <v/>
      </c>
    </row>
    <row r="46">
      <c r="A46" s="16" t="inlineStr">
        <is>
          <t>7.2.01.01</t>
        </is>
      </c>
      <c r="B46" s="15" t="inlineStr">
        <is>
          <t>Beban Administrasi Bank</t>
        </is>
      </c>
      <c r="C46" s="15" t="inlineStr">
        <is>
          <t>Beban</t>
        </is>
      </c>
      <c r="D46" s="17">
        <f>SUMIFS('TRANSAKSI'!$H$10:$H$1000,'TRANSAKSI'!$E$10:$E$1000,"7.2.01.01",'TRANSAKSI'!$J$10:$J$1000,1,'TRANSAKSI'!$K$10:$K$1000,TahunSel)-SUMIFS('TRANSAKSI'!$I$10:$I$1000,'TRANSAKSI'!$E$10:$E$1000,"7.2.01.01",'TRANSAKSI'!$J$10:$J$1000,1,'TRANSAKSI'!$K$10:$K$1000,TahunSel)</f>
        <v/>
      </c>
      <c r="E46" s="17">
        <f>SUMIFS('TRANSAKSI'!$H$10:$H$1000,'TRANSAKSI'!$E$10:$E$1000,"7.2.01.01",'TRANSAKSI'!$J$10:$J$1000,2,'TRANSAKSI'!$K$10:$K$1000,TahunSel)-SUMIFS('TRANSAKSI'!$I$10:$I$1000,'TRANSAKSI'!$E$10:$E$1000,"7.2.01.01",'TRANSAKSI'!$J$10:$J$1000,2,'TRANSAKSI'!$K$10:$K$1000,TahunSel)</f>
        <v/>
      </c>
      <c r="F46" s="17">
        <f>SUMIFS('TRANSAKSI'!$H$10:$H$1000,'TRANSAKSI'!$E$10:$E$1000,"7.2.01.01",'TRANSAKSI'!$J$10:$J$1000,3,'TRANSAKSI'!$K$10:$K$1000,TahunSel)-SUMIFS('TRANSAKSI'!$I$10:$I$1000,'TRANSAKSI'!$E$10:$E$1000,"7.2.01.01",'TRANSAKSI'!$J$10:$J$1000,3,'TRANSAKSI'!$K$10:$K$1000,TahunSel)</f>
        <v/>
      </c>
      <c r="G46" s="17">
        <f>SUMIFS('TRANSAKSI'!$H$10:$H$1000,'TRANSAKSI'!$E$10:$E$1000,"7.2.01.01",'TRANSAKSI'!$J$10:$J$1000,4,'TRANSAKSI'!$K$10:$K$1000,TahunSel)-SUMIFS('TRANSAKSI'!$I$10:$I$1000,'TRANSAKSI'!$E$10:$E$1000,"7.2.01.01",'TRANSAKSI'!$J$10:$J$1000,4,'TRANSAKSI'!$K$10:$K$1000,TahunSel)</f>
        <v/>
      </c>
      <c r="H46" s="17">
        <f>SUMIFS('TRANSAKSI'!$H$10:$H$1000,'TRANSAKSI'!$E$10:$E$1000,"7.2.01.01",'TRANSAKSI'!$J$10:$J$1000,5,'TRANSAKSI'!$K$10:$K$1000,TahunSel)-SUMIFS('TRANSAKSI'!$I$10:$I$1000,'TRANSAKSI'!$E$10:$E$1000,"7.2.01.01",'TRANSAKSI'!$J$10:$J$1000,5,'TRANSAKSI'!$K$10:$K$1000,TahunSel)</f>
        <v/>
      </c>
      <c r="I46" s="17">
        <f>SUMIFS('TRANSAKSI'!$H$10:$H$1000,'TRANSAKSI'!$E$10:$E$1000,"7.2.01.01",'TRANSAKSI'!$J$10:$J$1000,6,'TRANSAKSI'!$K$10:$K$1000,TahunSel)-SUMIFS('TRANSAKSI'!$I$10:$I$1000,'TRANSAKSI'!$E$10:$E$1000,"7.2.01.01",'TRANSAKSI'!$J$10:$J$1000,6,'TRANSAKSI'!$K$10:$K$1000,TahunSel)</f>
        <v/>
      </c>
      <c r="J46" s="17">
        <f>SUMIFS('TRANSAKSI'!$H$10:$H$1000,'TRANSAKSI'!$E$10:$E$1000,"7.2.01.01",'TRANSAKSI'!$J$10:$J$1000,7,'TRANSAKSI'!$K$10:$K$1000,TahunSel)-SUMIFS('TRANSAKSI'!$I$10:$I$1000,'TRANSAKSI'!$E$10:$E$1000,"7.2.01.01",'TRANSAKSI'!$J$10:$J$1000,7,'TRANSAKSI'!$K$10:$K$1000,TahunSel)</f>
        <v/>
      </c>
      <c r="K46" s="17">
        <f>SUMIFS('TRANSAKSI'!$H$10:$H$1000,'TRANSAKSI'!$E$10:$E$1000,"7.2.01.01",'TRANSAKSI'!$J$10:$J$1000,8,'TRANSAKSI'!$K$10:$K$1000,TahunSel)-SUMIFS('TRANSAKSI'!$I$10:$I$1000,'TRANSAKSI'!$E$10:$E$1000,"7.2.01.01",'TRANSAKSI'!$J$10:$J$1000,8,'TRANSAKSI'!$K$10:$K$1000,TahunSel)</f>
        <v/>
      </c>
      <c r="L46" s="17">
        <f>SUMIFS('TRANSAKSI'!$H$10:$H$1000,'TRANSAKSI'!$E$10:$E$1000,"7.2.01.01",'TRANSAKSI'!$J$10:$J$1000,9,'TRANSAKSI'!$K$10:$K$1000,TahunSel)-SUMIFS('TRANSAKSI'!$I$10:$I$1000,'TRANSAKSI'!$E$10:$E$1000,"7.2.01.01",'TRANSAKSI'!$J$10:$J$1000,9,'TRANSAKSI'!$K$10:$K$1000,TahunSel)</f>
        <v/>
      </c>
      <c r="M46" s="17">
        <f>SUMIFS('TRANSAKSI'!$H$10:$H$1000,'TRANSAKSI'!$E$10:$E$1000,"7.2.01.01",'TRANSAKSI'!$J$10:$J$1000,10,'TRANSAKSI'!$K$10:$K$1000,TahunSel)-SUMIFS('TRANSAKSI'!$I$10:$I$1000,'TRANSAKSI'!$E$10:$E$1000,"7.2.01.01",'TRANSAKSI'!$J$10:$J$1000,10,'TRANSAKSI'!$K$10:$K$1000,TahunSel)</f>
        <v/>
      </c>
      <c r="N46" s="17">
        <f>SUMIFS('TRANSAKSI'!$H$10:$H$1000,'TRANSAKSI'!$E$10:$E$1000,"7.2.01.01",'TRANSAKSI'!$J$10:$J$1000,11,'TRANSAKSI'!$K$10:$K$1000,TahunSel)-SUMIFS('TRANSAKSI'!$I$10:$I$1000,'TRANSAKSI'!$E$10:$E$1000,"7.2.01.01",'TRANSAKSI'!$J$10:$J$1000,11,'TRANSAKSI'!$K$10:$K$1000,TahunSel)</f>
        <v/>
      </c>
      <c r="O46" s="17">
        <f>SUMIFS('TRANSAKSI'!$H$10:$H$1000,'TRANSAKSI'!$E$10:$E$1000,"7.2.01.01",'TRANSAKSI'!$J$10:$J$1000,12,'TRANSAKSI'!$K$10:$K$1000,TahunSel)-SUMIFS('TRANSAKSI'!$I$10:$I$1000,'TRANSAKSI'!$E$10:$E$1000,"7.2.01.01",'TRANSAKSI'!$J$10:$J$1000,12,'TRANSAKSI'!$K$10:$K$1000,TahunSel)</f>
        <v/>
      </c>
      <c r="P46" s="17">
        <f>SUM(D46:O46)</f>
        <v/>
      </c>
    </row>
    <row r="47">
      <c r="A47" s="20" t="inlineStr">
        <is>
          <t>7.3.01.03</t>
        </is>
      </c>
      <c r="B47" s="4" t="inlineStr">
        <is>
          <t>Beban Pajak Daerah</t>
        </is>
      </c>
      <c r="C47" s="4" t="inlineStr">
        <is>
          <t>Beban</t>
        </is>
      </c>
      <c r="D47" s="9">
        <f>SUMIFS('TRANSAKSI'!$H$10:$H$1000,'TRANSAKSI'!$E$10:$E$1000,"7.3.01.03",'TRANSAKSI'!$J$10:$J$1000,1,'TRANSAKSI'!$K$10:$K$1000,TahunSel)-SUMIFS('TRANSAKSI'!$I$10:$I$1000,'TRANSAKSI'!$E$10:$E$1000,"7.3.01.03",'TRANSAKSI'!$J$10:$J$1000,1,'TRANSAKSI'!$K$10:$K$1000,TahunSel)</f>
        <v/>
      </c>
      <c r="E47" s="9">
        <f>SUMIFS('TRANSAKSI'!$H$10:$H$1000,'TRANSAKSI'!$E$10:$E$1000,"7.3.01.03",'TRANSAKSI'!$J$10:$J$1000,2,'TRANSAKSI'!$K$10:$K$1000,TahunSel)-SUMIFS('TRANSAKSI'!$I$10:$I$1000,'TRANSAKSI'!$E$10:$E$1000,"7.3.01.03",'TRANSAKSI'!$J$10:$J$1000,2,'TRANSAKSI'!$K$10:$K$1000,TahunSel)</f>
        <v/>
      </c>
      <c r="F47" s="9">
        <f>SUMIFS('TRANSAKSI'!$H$10:$H$1000,'TRANSAKSI'!$E$10:$E$1000,"7.3.01.03",'TRANSAKSI'!$J$10:$J$1000,3,'TRANSAKSI'!$K$10:$K$1000,TahunSel)-SUMIFS('TRANSAKSI'!$I$10:$I$1000,'TRANSAKSI'!$E$10:$E$1000,"7.3.01.03",'TRANSAKSI'!$J$10:$J$1000,3,'TRANSAKSI'!$K$10:$K$1000,TahunSel)</f>
        <v/>
      </c>
      <c r="G47" s="9">
        <f>SUMIFS('TRANSAKSI'!$H$10:$H$1000,'TRANSAKSI'!$E$10:$E$1000,"7.3.01.03",'TRANSAKSI'!$J$10:$J$1000,4,'TRANSAKSI'!$K$10:$K$1000,TahunSel)-SUMIFS('TRANSAKSI'!$I$10:$I$1000,'TRANSAKSI'!$E$10:$E$1000,"7.3.01.03",'TRANSAKSI'!$J$10:$J$1000,4,'TRANSAKSI'!$K$10:$K$1000,TahunSel)</f>
        <v/>
      </c>
      <c r="H47" s="9">
        <f>SUMIFS('TRANSAKSI'!$H$10:$H$1000,'TRANSAKSI'!$E$10:$E$1000,"7.3.01.03",'TRANSAKSI'!$J$10:$J$1000,5,'TRANSAKSI'!$K$10:$K$1000,TahunSel)-SUMIFS('TRANSAKSI'!$I$10:$I$1000,'TRANSAKSI'!$E$10:$E$1000,"7.3.01.03",'TRANSAKSI'!$J$10:$J$1000,5,'TRANSAKSI'!$K$10:$K$1000,TahunSel)</f>
        <v/>
      </c>
      <c r="I47" s="9">
        <f>SUMIFS('TRANSAKSI'!$H$10:$H$1000,'TRANSAKSI'!$E$10:$E$1000,"7.3.01.03",'TRANSAKSI'!$J$10:$J$1000,6,'TRANSAKSI'!$K$10:$K$1000,TahunSel)-SUMIFS('TRANSAKSI'!$I$10:$I$1000,'TRANSAKSI'!$E$10:$E$1000,"7.3.01.03",'TRANSAKSI'!$J$10:$J$1000,6,'TRANSAKSI'!$K$10:$K$1000,TahunSel)</f>
        <v/>
      </c>
      <c r="J47" s="9">
        <f>SUMIFS('TRANSAKSI'!$H$10:$H$1000,'TRANSAKSI'!$E$10:$E$1000,"7.3.01.03",'TRANSAKSI'!$J$10:$J$1000,7,'TRANSAKSI'!$K$10:$K$1000,TahunSel)-SUMIFS('TRANSAKSI'!$I$10:$I$1000,'TRANSAKSI'!$E$10:$E$1000,"7.3.01.03",'TRANSAKSI'!$J$10:$J$1000,7,'TRANSAKSI'!$K$10:$K$1000,TahunSel)</f>
        <v/>
      </c>
      <c r="K47" s="9">
        <f>SUMIFS('TRANSAKSI'!$H$10:$H$1000,'TRANSAKSI'!$E$10:$E$1000,"7.3.01.03",'TRANSAKSI'!$J$10:$J$1000,8,'TRANSAKSI'!$K$10:$K$1000,TahunSel)-SUMIFS('TRANSAKSI'!$I$10:$I$1000,'TRANSAKSI'!$E$10:$E$1000,"7.3.01.03",'TRANSAKSI'!$J$10:$J$1000,8,'TRANSAKSI'!$K$10:$K$1000,TahunSel)</f>
        <v/>
      </c>
      <c r="L47" s="9">
        <f>SUMIFS('TRANSAKSI'!$H$10:$H$1000,'TRANSAKSI'!$E$10:$E$1000,"7.3.01.03",'TRANSAKSI'!$J$10:$J$1000,9,'TRANSAKSI'!$K$10:$K$1000,TahunSel)-SUMIFS('TRANSAKSI'!$I$10:$I$1000,'TRANSAKSI'!$E$10:$E$1000,"7.3.01.03",'TRANSAKSI'!$J$10:$J$1000,9,'TRANSAKSI'!$K$10:$K$1000,TahunSel)</f>
        <v/>
      </c>
      <c r="M47" s="9">
        <f>SUMIFS('TRANSAKSI'!$H$10:$H$1000,'TRANSAKSI'!$E$10:$E$1000,"7.3.01.03",'TRANSAKSI'!$J$10:$J$1000,10,'TRANSAKSI'!$K$10:$K$1000,TahunSel)-SUMIFS('TRANSAKSI'!$I$10:$I$1000,'TRANSAKSI'!$E$10:$E$1000,"7.3.01.03",'TRANSAKSI'!$J$10:$J$1000,10,'TRANSAKSI'!$K$10:$K$1000,TahunSel)</f>
        <v/>
      </c>
      <c r="N47" s="9">
        <f>SUMIFS('TRANSAKSI'!$H$10:$H$1000,'TRANSAKSI'!$E$10:$E$1000,"7.3.01.03",'TRANSAKSI'!$J$10:$J$1000,11,'TRANSAKSI'!$K$10:$K$1000,TahunSel)-SUMIFS('TRANSAKSI'!$I$10:$I$1000,'TRANSAKSI'!$E$10:$E$1000,"7.3.01.03",'TRANSAKSI'!$J$10:$J$1000,11,'TRANSAKSI'!$K$10:$K$1000,TahunSel)</f>
        <v/>
      </c>
      <c r="O47" s="9">
        <f>SUMIFS('TRANSAKSI'!$H$10:$H$1000,'TRANSAKSI'!$E$10:$E$1000,"7.3.01.03",'TRANSAKSI'!$J$10:$J$1000,12,'TRANSAKSI'!$K$10:$K$1000,TahunSel)-SUMIFS('TRANSAKSI'!$I$10:$I$1000,'TRANSAKSI'!$E$10:$E$1000,"7.3.01.03",'TRANSAKSI'!$J$10:$J$1000,12,'TRANSAKSI'!$K$10:$K$1000,TahunSel)</f>
        <v/>
      </c>
      <c r="P47" s="9">
        <f>SUM(D47:O47)</f>
        <v/>
      </c>
    </row>
    <row r="48">
      <c r="A48" s="6" t="n"/>
      <c r="B48" s="6" t="inlineStr">
        <is>
          <t>Total Beban</t>
        </is>
      </c>
      <c r="C48" s="6" t="n"/>
      <c r="D48" s="23">
        <f>SUM(D24:D47)</f>
        <v/>
      </c>
      <c r="E48" s="23">
        <f>SUM(E24:E47)</f>
        <v/>
      </c>
      <c r="F48" s="23">
        <f>SUM(F24:F47)</f>
        <v/>
      </c>
      <c r="G48" s="23">
        <f>SUM(G24:G47)</f>
        <v/>
      </c>
      <c r="H48" s="23">
        <f>SUM(H24:H47)</f>
        <v/>
      </c>
      <c r="I48" s="23">
        <f>SUM(I24:I47)</f>
        <v/>
      </c>
      <c r="J48" s="23">
        <f>SUM(J24:J47)</f>
        <v/>
      </c>
      <c r="K48" s="23">
        <f>SUM(K24:K47)</f>
        <v/>
      </c>
      <c r="L48" s="23">
        <f>SUM(L24:L47)</f>
        <v/>
      </c>
      <c r="M48" s="23">
        <f>SUM(M24:M47)</f>
        <v/>
      </c>
      <c r="N48" s="23">
        <f>SUM(N24:N47)</f>
        <v/>
      </c>
      <c r="O48" s="23">
        <f>SUM(O24:O47)</f>
        <v/>
      </c>
      <c r="P48" s="23">
        <f>SUM(P24:P47)</f>
        <v/>
      </c>
    </row>
    <row r="50">
      <c r="A50" s="6" t="n"/>
      <c r="B50" s="6" t="inlineStr">
        <is>
          <t>SURPLUS / (RUGI) PER BULAN</t>
        </is>
      </c>
      <c r="C50" s="6" t="n"/>
      <c r="D50" s="23">
        <f>D21-D48</f>
        <v/>
      </c>
      <c r="E50" s="23">
        <f>E21-E48</f>
        <v/>
      </c>
      <c r="F50" s="23">
        <f>F21-F48</f>
        <v/>
      </c>
      <c r="G50" s="23">
        <f>G21-G48</f>
        <v/>
      </c>
      <c r="H50" s="23">
        <f>H21-H48</f>
        <v/>
      </c>
      <c r="I50" s="23">
        <f>I21-I48</f>
        <v/>
      </c>
      <c r="J50" s="23">
        <f>J21-J48</f>
        <v/>
      </c>
      <c r="K50" s="23">
        <f>K21-K48</f>
        <v/>
      </c>
      <c r="L50" s="23">
        <f>L21-L48</f>
        <v/>
      </c>
      <c r="M50" s="23">
        <f>M21-M48</f>
        <v/>
      </c>
      <c r="N50" s="23">
        <f>N21-N48</f>
        <v/>
      </c>
      <c r="O50" s="23">
        <f>O21-O48</f>
        <v/>
      </c>
      <c r="P50" s="23">
        <f>P21-P48</f>
        <v/>
      </c>
    </row>
    <row r="52">
      <c r="A52" s="24" t="n"/>
      <c r="B52" s="24" t="inlineStr">
        <is>
          <t>SALDO KAS AKHIR (akun 1.1.01*)</t>
        </is>
      </c>
      <c r="C52" s="24" t="n"/>
      <c r="D52" s="25">
        <f>SUMIFS('TRANSAKSI'!$H$10:$H$1000,'TRANSAKSI'!$E$10:$E$1000,"1.1.01*",'TRANSAKSI'!$B$10:$B$1000,"&lt;="&amp;EOMONTH(DATE(TahunSel,1,1),0))-SUMIFS('TRANSAKSI'!$I$10:$I$1000,'TRANSAKSI'!$E$10:$E$1000,"1.1.01*",'TRANSAKSI'!$B$10:$B$1000,"&lt;="&amp;EOMONTH(DATE(TahunSel,1,1),0))</f>
        <v/>
      </c>
      <c r="E52" s="25">
        <f>SUMIFS('TRANSAKSI'!$H$10:$H$1000,'TRANSAKSI'!$E$10:$E$1000,"1.1.01*",'TRANSAKSI'!$B$10:$B$1000,"&lt;="&amp;EOMONTH(DATE(TahunSel,2,1),0))-SUMIFS('TRANSAKSI'!$I$10:$I$1000,'TRANSAKSI'!$E$10:$E$1000,"1.1.01*",'TRANSAKSI'!$B$10:$B$1000,"&lt;="&amp;EOMONTH(DATE(TahunSel,2,1),0))</f>
        <v/>
      </c>
      <c r="F52" s="25">
        <f>SUMIFS('TRANSAKSI'!$H$10:$H$1000,'TRANSAKSI'!$E$10:$E$1000,"1.1.01*",'TRANSAKSI'!$B$10:$B$1000,"&lt;="&amp;EOMONTH(DATE(TahunSel,3,1),0))-SUMIFS('TRANSAKSI'!$I$10:$I$1000,'TRANSAKSI'!$E$10:$E$1000,"1.1.01*",'TRANSAKSI'!$B$10:$B$1000,"&lt;="&amp;EOMONTH(DATE(TahunSel,3,1),0))</f>
        <v/>
      </c>
      <c r="G52" s="25">
        <f>SUMIFS('TRANSAKSI'!$H$10:$H$1000,'TRANSAKSI'!$E$10:$E$1000,"1.1.01*",'TRANSAKSI'!$B$10:$B$1000,"&lt;="&amp;EOMONTH(DATE(TahunSel,4,1),0))-SUMIFS('TRANSAKSI'!$I$10:$I$1000,'TRANSAKSI'!$E$10:$E$1000,"1.1.01*",'TRANSAKSI'!$B$10:$B$1000,"&lt;="&amp;EOMONTH(DATE(TahunSel,4,1),0))</f>
        <v/>
      </c>
      <c r="H52" s="25">
        <f>SUMIFS('TRANSAKSI'!$H$10:$H$1000,'TRANSAKSI'!$E$10:$E$1000,"1.1.01*",'TRANSAKSI'!$B$10:$B$1000,"&lt;="&amp;EOMONTH(DATE(TahunSel,5,1),0))-SUMIFS('TRANSAKSI'!$I$10:$I$1000,'TRANSAKSI'!$E$10:$E$1000,"1.1.01*",'TRANSAKSI'!$B$10:$B$1000,"&lt;="&amp;EOMONTH(DATE(TahunSel,5,1),0))</f>
        <v/>
      </c>
      <c r="I52" s="25">
        <f>SUMIFS('TRANSAKSI'!$H$10:$H$1000,'TRANSAKSI'!$E$10:$E$1000,"1.1.01*",'TRANSAKSI'!$B$10:$B$1000,"&lt;="&amp;EOMONTH(DATE(TahunSel,6,1),0))-SUMIFS('TRANSAKSI'!$I$10:$I$1000,'TRANSAKSI'!$E$10:$E$1000,"1.1.01*",'TRANSAKSI'!$B$10:$B$1000,"&lt;="&amp;EOMONTH(DATE(TahunSel,6,1),0))</f>
        <v/>
      </c>
      <c r="J52" s="25">
        <f>SUMIFS('TRANSAKSI'!$H$10:$H$1000,'TRANSAKSI'!$E$10:$E$1000,"1.1.01*",'TRANSAKSI'!$B$10:$B$1000,"&lt;="&amp;EOMONTH(DATE(TahunSel,7,1),0))-SUMIFS('TRANSAKSI'!$I$10:$I$1000,'TRANSAKSI'!$E$10:$E$1000,"1.1.01*",'TRANSAKSI'!$B$10:$B$1000,"&lt;="&amp;EOMONTH(DATE(TahunSel,7,1),0))</f>
        <v/>
      </c>
      <c r="K52" s="25">
        <f>SUMIFS('TRANSAKSI'!$H$10:$H$1000,'TRANSAKSI'!$E$10:$E$1000,"1.1.01*",'TRANSAKSI'!$B$10:$B$1000,"&lt;="&amp;EOMONTH(DATE(TahunSel,8,1),0))-SUMIFS('TRANSAKSI'!$I$10:$I$1000,'TRANSAKSI'!$E$10:$E$1000,"1.1.01*",'TRANSAKSI'!$B$10:$B$1000,"&lt;="&amp;EOMONTH(DATE(TahunSel,8,1),0))</f>
        <v/>
      </c>
      <c r="L52" s="25">
        <f>SUMIFS('TRANSAKSI'!$H$10:$H$1000,'TRANSAKSI'!$E$10:$E$1000,"1.1.01*",'TRANSAKSI'!$B$10:$B$1000,"&lt;="&amp;EOMONTH(DATE(TahunSel,9,1),0))-SUMIFS('TRANSAKSI'!$I$10:$I$1000,'TRANSAKSI'!$E$10:$E$1000,"1.1.01*",'TRANSAKSI'!$B$10:$B$1000,"&lt;="&amp;EOMONTH(DATE(TahunSel,9,1),0))</f>
        <v/>
      </c>
      <c r="M52" s="25">
        <f>SUMIFS('TRANSAKSI'!$H$10:$H$1000,'TRANSAKSI'!$E$10:$E$1000,"1.1.01*",'TRANSAKSI'!$B$10:$B$1000,"&lt;="&amp;EOMONTH(DATE(TahunSel,10,1),0))-SUMIFS('TRANSAKSI'!$I$10:$I$1000,'TRANSAKSI'!$E$10:$E$1000,"1.1.01*",'TRANSAKSI'!$B$10:$B$1000,"&lt;="&amp;EOMONTH(DATE(TahunSel,10,1),0))</f>
        <v/>
      </c>
      <c r="N52" s="25">
        <f>SUMIFS('TRANSAKSI'!$H$10:$H$1000,'TRANSAKSI'!$E$10:$E$1000,"1.1.01*",'TRANSAKSI'!$B$10:$B$1000,"&lt;="&amp;EOMONTH(DATE(TahunSel,11,1),0))-SUMIFS('TRANSAKSI'!$I$10:$I$1000,'TRANSAKSI'!$E$10:$E$1000,"1.1.01*",'TRANSAKSI'!$B$10:$B$1000,"&lt;="&amp;EOMONTH(DATE(TahunSel,11,1),0))</f>
        <v/>
      </c>
      <c r="O52" s="25">
        <f>SUMIFS('TRANSAKSI'!$H$10:$H$1000,'TRANSAKSI'!$E$10:$E$1000,"1.1.01*",'TRANSAKSI'!$B$10:$B$1000,"&lt;="&amp;EOMONTH(DATE(TahunSel,12,1),0))-SUMIFS('TRANSAKSI'!$I$10:$I$1000,'TRANSAKSI'!$E$10:$E$1000,"1.1.01*",'TRANSAKSI'!$B$10:$B$1000,"&lt;="&amp;EOMONTH(DATE(TahunSel,12,1),0))</f>
        <v/>
      </c>
      <c r="P52" s="25">
        <f>O52</f>
        <v/>
      </c>
    </row>
    <row r="54">
      <c r="B54" s="10" t="inlineStr">
        <is>
          <t>Semua angka bersumber dari TRANSAKSI berdasarkan kode akun, bulan, dan tahun; bukan posisi baris.</t>
        </is>
      </c>
    </row>
  </sheetData>
  <mergeCells count="2">
    <mergeCell ref="B2:P2"/>
    <mergeCell ref="B54:P54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2:D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  <col width="20" customWidth="1" min="4" max="4"/>
  </cols>
  <sheetData>
    <row r="2">
      <c r="B2" s="11" t="inlineStr">
        <is>
          <t>LAPORAN LABA RUGI</t>
        </is>
      </c>
    </row>
    <row r="3">
      <c r="B3" s="2">
        <f>"Periode: "&amp;TEXT(DATE(TahunSel,BulanSel,1),"mmmm yyyy")</f>
        <v/>
      </c>
    </row>
    <row r="6">
      <c r="A6" s="12" t="inlineStr">
        <is>
          <t>KODE AKUN</t>
        </is>
      </c>
      <c r="B6" s="12" t="inlineStr">
        <is>
          <t>URAIAN</t>
        </is>
      </c>
      <c r="C6" s="12" t="inlineStr">
        <is>
          <t>BULAN INI</t>
        </is>
      </c>
      <c r="D6" s="12" t="inlineStr">
        <is>
          <t>S/D BULAN INI</t>
        </is>
      </c>
    </row>
    <row r="7">
      <c r="A7" s="21" t="inlineStr">
        <is>
          <t>PENDAPATAN</t>
        </is>
      </c>
      <c r="B7" s="22" t="n"/>
      <c r="C7" s="22" t="n"/>
      <c r="D7" s="22" t="n"/>
    </row>
    <row r="8">
      <c r="A8" s="16" t="inlineStr">
        <is>
          <t>4.1.02.01</t>
        </is>
      </c>
      <c r="B8" s="15" t="inlineStr">
        <is>
          <t>Pendapatan Pengelolaan Air Bersih</t>
        </is>
      </c>
      <c r="C8" s="17">
        <f>SUMIFS('TRANSAKSI'!$I$10:$I$1000,'TRANSAKSI'!$E$10:$E$1000,$A8,'TRANSAKSI'!$B$10:$B$1000,"&gt;="&amp;DATE(TahunSel,BulanSel,1),'TRANSAKSI'!$B$10:$B$1000,"&lt;="&amp;EOMONTH(DATE(TahunSel,BulanSel,1),0))-SUMIFS('TRANSAKSI'!$H$10:$H$1000,'TRANSAKSI'!$E$10:$E$1000,$A8,'TRANSAKSI'!$B$10:$B$1000,"&gt;="&amp;DATE(TahunSel,BulanSel,1),'TRANSAKSI'!$B$10:$B$1000,"&lt;="&amp;EOMONTH(DATE(TahunSel,BulanSel,1),0))</f>
        <v/>
      </c>
      <c r="D8" s="17">
        <f>SUMIFS('TRANSAKSI'!$I$10:$I$1000,'TRANSAKSI'!$E$10:$E$1000,$A8,'TRANSAKSI'!$B$10:$B$1000,"&gt;="&amp;DATE(TahunSel,1,1),'TRANSAKSI'!$B$10:$B$1000,"&lt;="&amp;EOMONTH(DATE(TahunSel,BulanSel,1),0))-SUMIFS('TRANSAKSI'!$H$10:$H$1000,'TRANSAKSI'!$E$10:$E$1000,$A8,'TRANSAKSI'!$B$10:$B$1000,"&gt;="&amp;DATE(TahunSel,1,1),'TRANSAKSI'!$B$10:$B$1000,"&lt;="&amp;EOMONTH(DATE(TahunSel,BulanSel,1),0))</f>
        <v/>
      </c>
    </row>
    <row r="9">
      <c r="A9" s="20" t="inlineStr">
        <is>
          <t>4.1.03.01</t>
        </is>
      </c>
      <c r="B9" s="4" t="inlineStr">
        <is>
          <t>Pendapatan Pengelolaan Sampah</t>
        </is>
      </c>
      <c r="C9" s="9">
        <f>SUMIFS('TRANSAKSI'!$I$10:$I$1000,'TRANSAKSI'!$E$10:$E$1000,$A9,'TRANSAKSI'!$B$10:$B$1000,"&gt;="&amp;DATE(TahunSel,BulanSel,1),'TRANSAKSI'!$B$10:$B$1000,"&lt;="&amp;EOMONTH(DATE(TahunSel,BulanSel,1),0))-SUMIFS('TRANSAKSI'!$H$10:$H$1000,'TRANSAKSI'!$E$10:$E$1000,$A9,'TRANSAKSI'!$B$10:$B$1000,"&gt;="&amp;DATE(TahunSel,BulanSel,1),'TRANSAKSI'!$B$10:$B$1000,"&lt;="&amp;EOMONTH(DATE(TahunSel,BulanSel,1),0))</f>
        <v/>
      </c>
      <c r="D9" s="9">
        <f>SUMIFS('TRANSAKSI'!$I$10:$I$1000,'TRANSAKSI'!$E$10:$E$1000,$A9,'TRANSAKSI'!$B$10:$B$1000,"&gt;="&amp;DATE(TahunSel,1,1),'TRANSAKSI'!$B$10:$B$1000,"&lt;="&amp;EOMONTH(DATE(TahunSel,BulanSel,1),0))-SUMIFS('TRANSAKSI'!$H$10:$H$1000,'TRANSAKSI'!$E$10:$E$1000,$A9,'TRANSAKSI'!$B$10:$B$1000,"&gt;="&amp;DATE(TahunSel,1,1),'TRANSAKSI'!$B$10:$B$1000,"&lt;="&amp;EOMONTH(DATE(TahunSel,BulanSel,1),0))</f>
        <v/>
      </c>
    </row>
    <row r="10">
      <c r="A10" s="16" t="inlineStr">
        <is>
          <t>4.1.04.02</t>
        </is>
      </c>
      <c r="B10" s="15" t="inlineStr">
        <is>
          <t>Pendapatan Sewa Toko dan Kios</t>
        </is>
      </c>
      <c r="C10" s="17">
        <f>SUMIFS('TRANSAKSI'!$I$10:$I$1000,'TRANSAKSI'!$E$10:$E$1000,$A10,'TRANSAKSI'!$B$10:$B$1000,"&gt;="&amp;DATE(TahunSel,BulanSel,1),'TRANSAKSI'!$B$10:$B$1000,"&lt;="&amp;EOMONTH(DATE(TahunSel,BulanSel,1),0))-SUMIFS('TRANSAKSI'!$H$10:$H$1000,'TRANSAKSI'!$E$10:$E$1000,$A10,'TRANSAKSI'!$B$10:$B$1000,"&gt;="&amp;DATE(TahunSel,BulanSel,1),'TRANSAKSI'!$B$10:$B$1000,"&lt;="&amp;EOMONTH(DATE(TahunSel,BulanSel,1),0))</f>
        <v/>
      </c>
      <c r="D10" s="17">
        <f>SUMIFS('TRANSAKSI'!$I$10:$I$1000,'TRANSAKSI'!$E$10:$E$1000,$A10,'TRANSAKSI'!$B$10:$B$1000,"&gt;="&amp;DATE(TahunSel,1,1),'TRANSAKSI'!$B$10:$B$1000,"&lt;="&amp;EOMONTH(DATE(TahunSel,BulanSel,1),0))-SUMIFS('TRANSAKSI'!$H$10:$H$1000,'TRANSAKSI'!$E$10:$E$1000,$A10,'TRANSAKSI'!$B$10:$B$1000,"&gt;="&amp;DATE(TahunSel,1,1),'TRANSAKSI'!$B$10:$B$1000,"&lt;="&amp;EOMONTH(DATE(TahunSel,BulanSel,1),0))</f>
        <v/>
      </c>
    </row>
    <row r="11">
      <c r="A11" s="20" t="inlineStr">
        <is>
          <t>4.1.04.03</t>
        </is>
      </c>
      <c r="B11" s="4" t="inlineStr">
        <is>
          <t>Pendapatan Sewa Gedung</t>
        </is>
      </c>
      <c r="C11" s="9">
        <f>SUMIFS('TRANSAKSI'!$I$10:$I$1000,'TRANSAKSI'!$E$10:$E$1000,$A11,'TRANSAKSI'!$B$10:$B$1000,"&gt;="&amp;DATE(TahunSel,BulanSel,1),'TRANSAKSI'!$B$10:$B$1000,"&lt;="&amp;EOMONTH(DATE(TahunSel,BulanSel,1),0))-SUMIFS('TRANSAKSI'!$H$10:$H$1000,'TRANSAKSI'!$E$10:$E$1000,$A11,'TRANSAKSI'!$B$10:$B$1000,"&gt;="&amp;DATE(TahunSel,BulanSel,1),'TRANSAKSI'!$B$10:$B$1000,"&lt;="&amp;EOMONTH(DATE(TahunSel,BulanSel,1),0))</f>
        <v/>
      </c>
      <c r="D11" s="9">
        <f>SUMIFS('TRANSAKSI'!$I$10:$I$1000,'TRANSAKSI'!$E$10:$E$1000,$A11,'TRANSAKSI'!$B$10:$B$1000,"&gt;="&amp;DATE(TahunSel,1,1),'TRANSAKSI'!$B$10:$B$1000,"&lt;="&amp;EOMONTH(DATE(TahunSel,BulanSel,1),0))-SUMIFS('TRANSAKSI'!$H$10:$H$1000,'TRANSAKSI'!$E$10:$E$1000,$A11,'TRANSAKSI'!$B$10:$B$1000,"&gt;="&amp;DATE(TahunSel,1,1),'TRANSAKSI'!$B$10:$B$1000,"&lt;="&amp;EOMONTH(DATE(TahunSel,BulanSel,1),0))</f>
        <v/>
      </c>
    </row>
    <row r="12">
      <c r="A12" s="16" t="inlineStr">
        <is>
          <t>4.1.04.06</t>
        </is>
      </c>
      <c r="B12" s="15" t="inlineStr">
        <is>
          <t>Pendapatan Sewa Jaring</t>
        </is>
      </c>
      <c r="C12" s="17">
        <f>SUMIFS('TRANSAKSI'!$I$10:$I$1000,'TRANSAKSI'!$E$10:$E$1000,$A12,'TRANSAKSI'!$B$10:$B$1000,"&gt;="&amp;DATE(TahunSel,BulanSel,1),'TRANSAKSI'!$B$10:$B$1000,"&lt;="&amp;EOMONTH(DATE(TahunSel,BulanSel,1),0))-SUMIFS('TRANSAKSI'!$H$10:$H$1000,'TRANSAKSI'!$E$10:$E$1000,$A12,'TRANSAKSI'!$B$10:$B$1000,"&gt;="&amp;DATE(TahunSel,BulanSel,1),'TRANSAKSI'!$B$10:$B$1000,"&lt;="&amp;EOMONTH(DATE(TahunSel,BulanSel,1),0))</f>
        <v/>
      </c>
      <c r="D12" s="17">
        <f>SUMIFS('TRANSAKSI'!$I$10:$I$1000,'TRANSAKSI'!$E$10:$E$1000,$A12,'TRANSAKSI'!$B$10:$B$1000,"&gt;="&amp;DATE(TahunSel,1,1),'TRANSAKSI'!$B$10:$B$1000,"&lt;="&amp;EOMONTH(DATE(TahunSel,BulanSel,1),0))-SUMIFS('TRANSAKSI'!$H$10:$H$1000,'TRANSAKSI'!$E$10:$E$1000,$A12,'TRANSAKSI'!$B$10:$B$1000,"&gt;="&amp;DATE(TahunSel,1,1),'TRANSAKSI'!$B$10:$B$1000,"&lt;="&amp;EOMONTH(DATE(TahunSel,BulanSel,1),0))</f>
        <v/>
      </c>
    </row>
    <row r="13">
      <c r="A13" s="20" t="inlineStr">
        <is>
          <t>4.1.05.01</t>
        </is>
      </c>
      <c r="B13" s="4" t="inlineStr">
        <is>
          <t>Pendapatan Jasa Bayar Listrik</t>
        </is>
      </c>
      <c r="C13" s="9">
        <f>SUMIFS('TRANSAKSI'!$I$10:$I$1000,'TRANSAKSI'!$E$10:$E$1000,$A13,'TRANSAKSI'!$B$10:$B$1000,"&gt;="&amp;DATE(TahunSel,BulanSel,1),'TRANSAKSI'!$B$10:$B$1000,"&lt;="&amp;EOMONTH(DATE(TahunSel,BulanSel,1),0))-SUMIFS('TRANSAKSI'!$H$10:$H$1000,'TRANSAKSI'!$E$10:$E$1000,$A13,'TRANSAKSI'!$B$10:$B$1000,"&gt;="&amp;DATE(TahunSel,BulanSel,1),'TRANSAKSI'!$B$10:$B$1000,"&lt;="&amp;EOMONTH(DATE(TahunSel,BulanSel,1),0))</f>
        <v/>
      </c>
      <c r="D13" s="9">
        <f>SUMIFS('TRANSAKSI'!$I$10:$I$1000,'TRANSAKSI'!$E$10:$E$1000,$A13,'TRANSAKSI'!$B$10:$B$1000,"&gt;="&amp;DATE(TahunSel,1,1),'TRANSAKSI'!$B$10:$B$1000,"&lt;="&amp;EOMONTH(DATE(TahunSel,BulanSel,1),0))-SUMIFS('TRANSAKSI'!$H$10:$H$1000,'TRANSAKSI'!$E$10:$E$1000,$A13,'TRANSAKSI'!$B$10:$B$1000,"&gt;="&amp;DATE(TahunSel,1,1),'TRANSAKSI'!$B$10:$B$1000,"&lt;="&amp;EOMONTH(DATE(TahunSel,BulanSel,1),0))</f>
        <v/>
      </c>
    </row>
    <row r="14">
      <c r="A14" s="16" t="inlineStr">
        <is>
          <t>4.1.05.03</t>
        </is>
      </c>
      <c r="B14" s="15" t="inlineStr">
        <is>
          <t>Pendapatan Jasa Bayar BPJS</t>
        </is>
      </c>
      <c r="C14" s="17">
        <f>SUMIFS('TRANSAKSI'!$I$10:$I$1000,'TRANSAKSI'!$E$10:$E$1000,$A14,'TRANSAKSI'!$B$10:$B$1000,"&gt;="&amp;DATE(TahunSel,BulanSel,1),'TRANSAKSI'!$B$10:$B$1000,"&lt;="&amp;EOMONTH(DATE(TahunSel,BulanSel,1),0))-SUMIFS('TRANSAKSI'!$H$10:$H$1000,'TRANSAKSI'!$E$10:$E$1000,$A14,'TRANSAKSI'!$B$10:$B$1000,"&gt;="&amp;DATE(TahunSel,BulanSel,1),'TRANSAKSI'!$B$10:$B$1000,"&lt;="&amp;EOMONTH(DATE(TahunSel,BulanSel,1),0))</f>
        <v/>
      </c>
      <c r="D14" s="17">
        <f>SUMIFS('TRANSAKSI'!$I$10:$I$1000,'TRANSAKSI'!$E$10:$E$1000,$A14,'TRANSAKSI'!$B$10:$B$1000,"&gt;="&amp;DATE(TahunSel,1,1),'TRANSAKSI'!$B$10:$B$1000,"&lt;="&amp;EOMONTH(DATE(TahunSel,BulanSel,1),0))-SUMIFS('TRANSAKSI'!$H$10:$H$1000,'TRANSAKSI'!$E$10:$E$1000,$A14,'TRANSAKSI'!$B$10:$B$1000,"&gt;="&amp;DATE(TahunSel,1,1),'TRANSAKSI'!$B$10:$B$1000,"&lt;="&amp;EOMONTH(DATE(TahunSel,BulanSel,1),0))</f>
        <v/>
      </c>
    </row>
    <row r="15">
      <c r="A15" s="20" t="inlineStr">
        <is>
          <t>4.1.08.01</t>
        </is>
      </c>
      <c r="B15" s="4" t="inlineStr">
        <is>
          <t>Pendapatan Simpan Pinjam</t>
        </is>
      </c>
      <c r="C15" s="9">
        <f>SUMIFS('TRANSAKSI'!$I$10:$I$1000,'TRANSAKSI'!$E$10:$E$1000,$A15,'TRANSAKSI'!$B$10:$B$1000,"&gt;="&amp;DATE(TahunSel,BulanSel,1),'TRANSAKSI'!$B$10:$B$1000,"&lt;="&amp;EOMONTH(DATE(TahunSel,BulanSel,1),0))-SUMIFS('TRANSAKSI'!$H$10:$H$1000,'TRANSAKSI'!$E$10:$E$1000,$A15,'TRANSAKSI'!$B$10:$B$1000,"&gt;="&amp;DATE(TahunSel,BulanSel,1),'TRANSAKSI'!$B$10:$B$1000,"&lt;="&amp;EOMONTH(DATE(TahunSel,BulanSel,1),0))</f>
        <v/>
      </c>
      <c r="D15" s="9">
        <f>SUMIFS('TRANSAKSI'!$I$10:$I$1000,'TRANSAKSI'!$E$10:$E$1000,$A15,'TRANSAKSI'!$B$10:$B$1000,"&gt;="&amp;DATE(TahunSel,1,1),'TRANSAKSI'!$B$10:$B$1000,"&lt;="&amp;EOMONTH(DATE(TahunSel,BulanSel,1),0))-SUMIFS('TRANSAKSI'!$H$10:$H$1000,'TRANSAKSI'!$E$10:$E$1000,$A15,'TRANSAKSI'!$B$10:$B$1000,"&gt;="&amp;DATE(TahunSel,1,1),'TRANSAKSI'!$B$10:$B$1000,"&lt;="&amp;EOMONTH(DATE(TahunSel,BulanSel,1),0))</f>
        <v/>
      </c>
    </row>
    <row r="16">
      <c r="A16" s="16" t="inlineStr">
        <is>
          <t>4.1.11.01</t>
        </is>
      </c>
      <c r="B16" s="15" t="inlineStr">
        <is>
          <t>Pendapatan Komisi</t>
        </is>
      </c>
      <c r="C16" s="17">
        <f>SUMIFS('TRANSAKSI'!$I$10:$I$1000,'TRANSAKSI'!$E$10:$E$1000,$A16,'TRANSAKSI'!$B$10:$B$1000,"&gt;="&amp;DATE(TahunSel,BulanSel,1),'TRANSAKSI'!$B$10:$B$1000,"&lt;="&amp;EOMONTH(DATE(TahunSel,BulanSel,1),0))-SUMIFS('TRANSAKSI'!$H$10:$H$1000,'TRANSAKSI'!$E$10:$E$1000,$A16,'TRANSAKSI'!$B$10:$B$1000,"&gt;="&amp;DATE(TahunSel,BulanSel,1),'TRANSAKSI'!$B$10:$B$1000,"&lt;="&amp;EOMONTH(DATE(TahunSel,BulanSel,1),0))</f>
        <v/>
      </c>
      <c r="D16" s="17">
        <f>SUMIFS('TRANSAKSI'!$I$10:$I$1000,'TRANSAKSI'!$E$10:$E$1000,$A16,'TRANSAKSI'!$B$10:$B$1000,"&gt;="&amp;DATE(TahunSel,1,1),'TRANSAKSI'!$B$10:$B$1000,"&lt;="&amp;EOMONTH(DATE(TahunSel,BulanSel,1),0))-SUMIFS('TRANSAKSI'!$H$10:$H$1000,'TRANSAKSI'!$E$10:$E$1000,$A16,'TRANSAKSI'!$B$10:$B$1000,"&gt;="&amp;DATE(TahunSel,1,1),'TRANSAKSI'!$B$10:$B$1000,"&lt;="&amp;EOMONTH(DATE(TahunSel,BulanSel,1),0))</f>
        <v/>
      </c>
    </row>
    <row r="17">
      <c r="A17" s="20" t="inlineStr">
        <is>
          <t>4.1.12.01</t>
        </is>
      </c>
      <c r="B17" s="4" t="inlineStr">
        <is>
          <t>Pendapatan Penjualan Jagung</t>
        </is>
      </c>
      <c r="C17" s="9">
        <f>SUMIFS('TRANSAKSI'!$I$10:$I$1000,'TRANSAKSI'!$E$10:$E$1000,$A17,'TRANSAKSI'!$B$10:$B$1000,"&gt;="&amp;DATE(TahunSel,BulanSel,1),'TRANSAKSI'!$B$10:$B$1000,"&lt;="&amp;EOMONTH(DATE(TahunSel,BulanSel,1),0))-SUMIFS('TRANSAKSI'!$H$10:$H$1000,'TRANSAKSI'!$E$10:$E$1000,$A17,'TRANSAKSI'!$B$10:$B$1000,"&gt;="&amp;DATE(TahunSel,BulanSel,1),'TRANSAKSI'!$B$10:$B$1000,"&lt;="&amp;EOMONTH(DATE(TahunSel,BulanSel,1),0))</f>
        <v/>
      </c>
      <c r="D17" s="9">
        <f>SUMIFS('TRANSAKSI'!$I$10:$I$1000,'TRANSAKSI'!$E$10:$E$1000,$A17,'TRANSAKSI'!$B$10:$B$1000,"&gt;="&amp;DATE(TahunSel,1,1),'TRANSAKSI'!$B$10:$B$1000,"&lt;="&amp;EOMONTH(DATE(TahunSel,BulanSel,1),0))-SUMIFS('TRANSAKSI'!$H$10:$H$1000,'TRANSAKSI'!$E$10:$E$1000,$A17,'TRANSAKSI'!$B$10:$B$1000,"&gt;="&amp;DATE(TahunSel,1,1),'TRANSAKSI'!$B$10:$B$1000,"&lt;="&amp;EOMONTH(DATE(TahunSel,BulanSel,1),0))</f>
        <v/>
      </c>
    </row>
    <row r="18">
      <c r="A18" s="16" t="inlineStr">
        <is>
          <t>4.1.12.02</t>
        </is>
      </c>
      <c r="B18" s="15" t="inlineStr">
        <is>
          <t>Pendapatan Penjualan Padi</t>
        </is>
      </c>
      <c r="C18" s="17">
        <f>SUMIFS('TRANSAKSI'!$I$10:$I$1000,'TRANSAKSI'!$E$10:$E$1000,$A18,'TRANSAKSI'!$B$10:$B$1000,"&gt;="&amp;DATE(TahunSel,BulanSel,1),'TRANSAKSI'!$B$10:$B$1000,"&lt;="&amp;EOMONTH(DATE(TahunSel,BulanSel,1),0))-SUMIFS('TRANSAKSI'!$H$10:$H$1000,'TRANSAKSI'!$E$10:$E$1000,$A18,'TRANSAKSI'!$B$10:$B$1000,"&gt;="&amp;DATE(TahunSel,BulanSel,1),'TRANSAKSI'!$B$10:$B$1000,"&lt;="&amp;EOMONTH(DATE(TahunSel,BulanSel,1),0))</f>
        <v/>
      </c>
      <c r="D18" s="17">
        <f>SUMIFS('TRANSAKSI'!$I$10:$I$1000,'TRANSAKSI'!$E$10:$E$1000,$A18,'TRANSAKSI'!$B$10:$B$1000,"&gt;="&amp;DATE(TahunSel,1,1),'TRANSAKSI'!$B$10:$B$1000,"&lt;="&amp;EOMONTH(DATE(TahunSel,BulanSel,1),0))-SUMIFS('TRANSAKSI'!$H$10:$H$1000,'TRANSAKSI'!$E$10:$E$1000,$A18,'TRANSAKSI'!$B$10:$B$1000,"&gt;="&amp;DATE(TahunSel,1,1),'TRANSAKSI'!$B$10:$B$1000,"&lt;="&amp;EOMONTH(DATE(TahunSel,BulanSel,1),0))</f>
        <v/>
      </c>
    </row>
    <row r="19">
      <c r="A19" s="20" t="inlineStr">
        <is>
          <t>4.1.13.05</t>
        </is>
      </c>
      <c r="B19" s="4" t="inlineStr">
        <is>
          <t>Pendapatan Penjualan Telur Ayam</t>
        </is>
      </c>
      <c r="C19" s="9">
        <f>SUMIFS('TRANSAKSI'!$I$10:$I$1000,'TRANSAKSI'!$E$10:$E$1000,$A19,'TRANSAKSI'!$B$10:$B$1000,"&gt;="&amp;DATE(TahunSel,BulanSel,1),'TRANSAKSI'!$B$10:$B$1000,"&lt;="&amp;EOMONTH(DATE(TahunSel,BulanSel,1),0))-SUMIFS('TRANSAKSI'!$H$10:$H$1000,'TRANSAKSI'!$E$10:$E$1000,$A19,'TRANSAKSI'!$B$10:$B$1000,"&gt;="&amp;DATE(TahunSel,BulanSel,1),'TRANSAKSI'!$B$10:$B$1000,"&lt;="&amp;EOMONTH(DATE(TahunSel,BulanSel,1),0))</f>
        <v/>
      </c>
      <c r="D19" s="9">
        <f>SUMIFS('TRANSAKSI'!$I$10:$I$1000,'TRANSAKSI'!$E$10:$E$1000,$A19,'TRANSAKSI'!$B$10:$B$1000,"&gt;="&amp;DATE(TahunSel,1,1),'TRANSAKSI'!$B$10:$B$1000,"&lt;="&amp;EOMONTH(DATE(TahunSel,BulanSel,1),0))-SUMIFS('TRANSAKSI'!$H$10:$H$1000,'TRANSAKSI'!$E$10:$E$1000,$A19,'TRANSAKSI'!$B$10:$B$1000,"&gt;="&amp;DATE(TahunSel,1,1),'TRANSAKSI'!$B$10:$B$1000,"&lt;="&amp;EOMONTH(DATE(TahunSel,BulanSel,1),0))</f>
        <v/>
      </c>
    </row>
    <row r="20">
      <c r="A20" s="16" t="inlineStr">
        <is>
          <t>4.1.14.01</t>
        </is>
      </c>
      <c r="B20" s="15" t="inlineStr">
        <is>
          <t>Pendapatan Penjualan Lele</t>
        </is>
      </c>
      <c r="C20" s="17">
        <f>SUMIFS('TRANSAKSI'!$I$10:$I$1000,'TRANSAKSI'!$E$10:$E$1000,$A20,'TRANSAKSI'!$B$10:$B$1000,"&gt;="&amp;DATE(TahunSel,BulanSel,1),'TRANSAKSI'!$B$10:$B$1000,"&lt;="&amp;EOMONTH(DATE(TahunSel,BulanSel,1),0))-SUMIFS('TRANSAKSI'!$H$10:$H$1000,'TRANSAKSI'!$E$10:$E$1000,$A20,'TRANSAKSI'!$B$10:$B$1000,"&gt;="&amp;DATE(TahunSel,BulanSel,1),'TRANSAKSI'!$B$10:$B$1000,"&lt;="&amp;EOMONTH(DATE(TahunSel,BulanSel,1),0))</f>
        <v/>
      </c>
      <c r="D20" s="17">
        <f>SUMIFS('TRANSAKSI'!$I$10:$I$1000,'TRANSAKSI'!$E$10:$E$1000,$A20,'TRANSAKSI'!$B$10:$B$1000,"&gt;="&amp;DATE(TahunSel,1,1),'TRANSAKSI'!$B$10:$B$1000,"&lt;="&amp;EOMONTH(DATE(TahunSel,BulanSel,1),0))-SUMIFS('TRANSAKSI'!$H$10:$H$1000,'TRANSAKSI'!$E$10:$E$1000,$A20,'TRANSAKSI'!$B$10:$B$1000,"&gt;="&amp;DATE(TahunSel,1,1),'TRANSAKSI'!$B$10:$B$1000,"&lt;="&amp;EOMONTH(DATE(TahunSel,BulanSel,1),0))</f>
        <v/>
      </c>
    </row>
    <row r="21">
      <c r="A21" s="6" t="n"/>
      <c r="B21" s="6" t="inlineStr">
        <is>
          <t>Total Pendapatan</t>
        </is>
      </c>
      <c r="C21" s="23">
        <f>SUM(C8:C20)</f>
        <v/>
      </c>
      <c r="D21" s="23">
        <f>SUM(D8:D20)</f>
        <v/>
      </c>
    </row>
    <row r="23">
      <c r="A23" s="21" t="inlineStr">
        <is>
          <t>BEBAN</t>
        </is>
      </c>
      <c r="B23" s="22" t="n"/>
      <c r="C23" s="22" t="n"/>
      <c r="D23" s="22" t="n"/>
    </row>
    <row r="24">
      <c r="A24" s="16" t="inlineStr">
        <is>
          <t>6.1.02.01</t>
        </is>
      </c>
      <c r="B24" s="15" t="inlineStr">
        <is>
          <t>Beban Alat Tulis Kantor (ATK)</t>
        </is>
      </c>
      <c r="C24" s="17">
        <f>SUMIFS('TRANSAKSI'!$H$10:$H$1000,'TRANSAKSI'!$E$10:$E$1000,$A24,'TRANSAKSI'!$B$10:$B$1000,"&gt;="&amp;DATE(TahunSel,BulanSel,1),'TRANSAKSI'!$B$10:$B$1000,"&lt;="&amp;EOMONTH(DATE(TahunSel,BulanSel,1),0))-SUMIFS('TRANSAKSI'!$I$10:$I$1000,'TRANSAKSI'!$E$10:$E$1000,$A24,'TRANSAKSI'!$B$10:$B$1000,"&gt;="&amp;DATE(TahunSel,BulanSel,1),'TRANSAKSI'!$B$10:$B$1000,"&lt;="&amp;EOMONTH(DATE(TahunSel,BulanSel,1),0))</f>
        <v/>
      </c>
      <c r="D24" s="17">
        <f>SUMIFS('TRANSAKSI'!$H$10:$H$1000,'TRANSAKSI'!$E$10:$E$1000,$A24,'TRANSAKSI'!$B$10:$B$1000,"&gt;="&amp;DATE(TahunSel,1,1),'TRANSAKSI'!$B$10:$B$1000,"&lt;="&amp;EOMONTH(DATE(TahunSel,BulanSel,1),0))-SUMIFS('TRANSAKSI'!$I$10:$I$1000,'TRANSAKSI'!$E$10:$E$1000,$A24,'TRANSAKSI'!$B$10:$B$1000,"&gt;="&amp;DATE(TahunSel,1,1),'TRANSAKSI'!$B$10:$B$1000,"&lt;="&amp;EOMONTH(DATE(TahunSel,BulanSel,1),0))</f>
        <v/>
      </c>
    </row>
    <row r="25">
      <c r="A25" s="20" t="inlineStr">
        <is>
          <t>6.1.02.02</t>
        </is>
      </c>
      <c r="B25" s="4" t="inlineStr">
        <is>
          <t>Beban Foto Copy</t>
        </is>
      </c>
      <c r="C25" s="9">
        <f>SUMIFS('TRANSAKSI'!$H$10:$H$1000,'TRANSAKSI'!$E$10:$E$1000,$A25,'TRANSAKSI'!$B$10:$B$1000,"&gt;="&amp;DATE(TahunSel,BulanSel,1),'TRANSAKSI'!$B$10:$B$1000,"&lt;="&amp;EOMONTH(DATE(TahunSel,BulanSel,1),0))-SUMIFS('TRANSAKSI'!$I$10:$I$1000,'TRANSAKSI'!$E$10:$E$1000,$A25,'TRANSAKSI'!$B$10:$B$1000,"&gt;="&amp;DATE(TahunSel,BulanSel,1),'TRANSAKSI'!$B$10:$B$1000,"&lt;="&amp;EOMONTH(DATE(TahunSel,BulanSel,1),0))</f>
        <v/>
      </c>
      <c r="D25" s="9">
        <f>SUMIFS('TRANSAKSI'!$H$10:$H$1000,'TRANSAKSI'!$E$10:$E$1000,$A25,'TRANSAKSI'!$B$10:$B$1000,"&gt;="&amp;DATE(TahunSel,1,1),'TRANSAKSI'!$B$10:$B$1000,"&lt;="&amp;EOMONTH(DATE(TahunSel,BulanSel,1),0))-SUMIFS('TRANSAKSI'!$I$10:$I$1000,'TRANSAKSI'!$E$10:$E$1000,$A25,'TRANSAKSI'!$B$10:$B$1000,"&gt;="&amp;DATE(TahunSel,1,1),'TRANSAKSI'!$B$10:$B$1000,"&lt;="&amp;EOMONTH(DATE(TahunSel,BulanSel,1),0))</f>
        <v/>
      </c>
    </row>
    <row r="26">
      <c r="A26" s="16" t="inlineStr">
        <is>
          <t>6.1.02.03</t>
        </is>
      </c>
      <c r="B26" s="15" t="inlineStr">
        <is>
          <t>Beban Konsumsi Rapat</t>
        </is>
      </c>
      <c r="C26" s="17">
        <f>SUMIFS('TRANSAKSI'!$H$10:$H$1000,'TRANSAKSI'!$E$10:$E$1000,$A26,'TRANSAKSI'!$B$10:$B$1000,"&gt;="&amp;DATE(TahunSel,BulanSel,1),'TRANSAKSI'!$B$10:$B$1000,"&lt;="&amp;EOMONTH(DATE(TahunSel,BulanSel,1),0))-SUMIFS('TRANSAKSI'!$I$10:$I$1000,'TRANSAKSI'!$E$10:$E$1000,$A26,'TRANSAKSI'!$B$10:$B$1000,"&gt;="&amp;DATE(TahunSel,BulanSel,1),'TRANSAKSI'!$B$10:$B$1000,"&lt;="&amp;EOMONTH(DATE(TahunSel,BulanSel,1),0))</f>
        <v/>
      </c>
      <c r="D26" s="17">
        <f>SUMIFS('TRANSAKSI'!$H$10:$H$1000,'TRANSAKSI'!$E$10:$E$1000,$A26,'TRANSAKSI'!$B$10:$B$1000,"&gt;="&amp;DATE(TahunSel,1,1),'TRANSAKSI'!$B$10:$B$1000,"&lt;="&amp;EOMONTH(DATE(TahunSel,BulanSel,1),0))-SUMIFS('TRANSAKSI'!$I$10:$I$1000,'TRANSAKSI'!$E$10:$E$1000,$A26,'TRANSAKSI'!$B$10:$B$1000,"&gt;="&amp;DATE(TahunSel,1,1),'TRANSAKSI'!$B$10:$B$1000,"&lt;="&amp;EOMONTH(DATE(TahunSel,BulanSel,1),0))</f>
        <v/>
      </c>
    </row>
    <row r="27">
      <c r="A27" s="20" t="inlineStr">
        <is>
          <t>6.1.04.01</t>
        </is>
      </c>
      <c r="B27" s="4" t="inlineStr">
        <is>
          <t>Beban Listrik</t>
        </is>
      </c>
      <c r="C27" s="9">
        <f>SUMIFS('TRANSAKSI'!$H$10:$H$1000,'TRANSAKSI'!$E$10:$E$1000,$A27,'TRANSAKSI'!$B$10:$B$1000,"&gt;="&amp;DATE(TahunSel,BulanSel,1),'TRANSAKSI'!$B$10:$B$1000,"&lt;="&amp;EOMONTH(DATE(TahunSel,BulanSel,1),0))-SUMIFS('TRANSAKSI'!$I$10:$I$1000,'TRANSAKSI'!$E$10:$E$1000,$A27,'TRANSAKSI'!$B$10:$B$1000,"&gt;="&amp;DATE(TahunSel,BulanSel,1),'TRANSAKSI'!$B$10:$B$1000,"&lt;="&amp;EOMONTH(DATE(TahunSel,BulanSel,1),0))</f>
        <v/>
      </c>
      <c r="D27" s="9">
        <f>SUMIFS('TRANSAKSI'!$H$10:$H$1000,'TRANSAKSI'!$E$10:$E$1000,$A27,'TRANSAKSI'!$B$10:$B$1000,"&gt;="&amp;DATE(TahunSel,1,1),'TRANSAKSI'!$B$10:$B$1000,"&lt;="&amp;EOMONTH(DATE(TahunSel,BulanSel,1),0))-SUMIFS('TRANSAKSI'!$I$10:$I$1000,'TRANSAKSI'!$E$10:$E$1000,$A27,'TRANSAKSI'!$B$10:$B$1000,"&gt;="&amp;DATE(TahunSel,1,1),'TRANSAKSI'!$B$10:$B$1000,"&lt;="&amp;EOMONTH(DATE(TahunSel,BulanSel,1),0))</f>
        <v/>
      </c>
    </row>
    <row r="28">
      <c r="A28" s="16" t="inlineStr">
        <is>
          <t>6.1.04.02</t>
        </is>
      </c>
      <c r="B28" s="15" t="inlineStr">
        <is>
          <t>Beban Telepon/Internet</t>
        </is>
      </c>
      <c r="C28" s="17">
        <f>SUMIFS('TRANSAKSI'!$H$10:$H$1000,'TRANSAKSI'!$E$10:$E$1000,$A28,'TRANSAKSI'!$B$10:$B$1000,"&gt;="&amp;DATE(TahunSel,BulanSel,1),'TRANSAKSI'!$B$10:$B$1000,"&lt;="&amp;EOMONTH(DATE(TahunSel,BulanSel,1),0))-SUMIFS('TRANSAKSI'!$I$10:$I$1000,'TRANSAKSI'!$E$10:$E$1000,$A28,'TRANSAKSI'!$B$10:$B$1000,"&gt;="&amp;DATE(TahunSel,BulanSel,1),'TRANSAKSI'!$B$10:$B$1000,"&lt;="&amp;EOMONTH(DATE(TahunSel,BulanSel,1),0))</f>
        <v/>
      </c>
      <c r="D28" s="17">
        <f>SUMIFS('TRANSAKSI'!$H$10:$H$1000,'TRANSAKSI'!$E$10:$E$1000,$A28,'TRANSAKSI'!$B$10:$B$1000,"&gt;="&amp;DATE(TahunSel,1,1),'TRANSAKSI'!$B$10:$B$1000,"&lt;="&amp;EOMONTH(DATE(TahunSel,BulanSel,1),0))-SUMIFS('TRANSAKSI'!$I$10:$I$1000,'TRANSAKSI'!$E$10:$E$1000,$A28,'TRANSAKSI'!$B$10:$B$1000,"&gt;="&amp;DATE(TahunSel,1,1),'TRANSAKSI'!$B$10:$B$1000,"&lt;="&amp;EOMONTH(DATE(TahunSel,BulanSel,1),0))</f>
        <v/>
      </c>
    </row>
    <row r="29">
      <c r="A29" s="20" t="inlineStr">
        <is>
          <t>6.1.07.02</t>
        </is>
      </c>
      <c r="B29" s="4" t="inlineStr">
        <is>
          <t>Beban Penyusutan Kendaraan</t>
        </is>
      </c>
      <c r="C29" s="9">
        <f>SUMIFS('TRANSAKSI'!$H$10:$H$1000,'TRANSAKSI'!$E$10:$E$1000,$A29,'TRANSAKSI'!$B$10:$B$1000,"&gt;="&amp;DATE(TahunSel,BulanSel,1),'TRANSAKSI'!$B$10:$B$1000,"&lt;="&amp;EOMONTH(DATE(TahunSel,BulanSel,1),0))-SUMIFS('TRANSAKSI'!$I$10:$I$1000,'TRANSAKSI'!$E$10:$E$1000,$A29,'TRANSAKSI'!$B$10:$B$1000,"&gt;="&amp;DATE(TahunSel,BulanSel,1),'TRANSAKSI'!$B$10:$B$1000,"&lt;="&amp;EOMONTH(DATE(TahunSel,BulanSel,1),0))</f>
        <v/>
      </c>
      <c r="D29" s="9">
        <f>SUMIFS('TRANSAKSI'!$H$10:$H$1000,'TRANSAKSI'!$E$10:$E$1000,$A29,'TRANSAKSI'!$B$10:$B$1000,"&gt;="&amp;DATE(TahunSel,1,1),'TRANSAKSI'!$B$10:$B$1000,"&lt;="&amp;EOMONTH(DATE(TahunSel,BulanSel,1),0))-SUMIFS('TRANSAKSI'!$I$10:$I$1000,'TRANSAKSI'!$E$10:$E$1000,$A29,'TRANSAKSI'!$B$10:$B$1000,"&gt;="&amp;DATE(TahunSel,1,1),'TRANSAKSI'!$B$10:$B$1000,"&lt;="&amp;EOMONTH(DATE(TahunSel,BulanSel,1),0))</f>
        <v/>
      </c>
    </row>
    <row r="30">
      <c r="A30" s="16" t="inlineStr">
        <is>
          <t>6.1.07.03</t>
        </is>
      </c>
      <c r="B30" s="15" t="inlineStr">
        <is>
          <t>Beban Penyusutan Peralatan dan Mesin</t>
        </is>
      </c>
      <c r="C30" s="17">
        <f>SUMIFS('TRANSAKSI'!$H$10:$H$1000,'TRANSAKSI'!$E$10:$E$1000,$A30,'TRANSAKSI'!$B$10:$B$1000,"&gt;="&amp;DATE(TahunSel,BulanSel,1),'TRANSAKSI'!$B$10:$B$1000,"&lt;="&amp;EOMONTH(DATE(TahunSel,BulanSel,1),0))-SUMIFS('TRANSAKSI'!$I$10:$I$1000,'TRANSAKSI'!$E$10:$E$1000,$A30,'TRANSAKSI'!$B$10:$B$1000,"&gt;="&amp;DATE(TahunSel,BulanSel,1),'TRANSAKSI'!$B$10:$B$1000,"&lt;="&amp;EOMONTH(DATE(TahunSel,BulanSel,1),0))</f>
        <v/>
      </c>
      <c r="D30" s="17">
        <f>SUMIFS('TRANSAKSI'!$H$10:$H$1000,'TRANSAKSI'!$E$10:$E$1000,$A30,'TRANSAKSI'!$B$10:$B$1000,"&gt;="&amp;DATE(TahunSel,1,1),'TRANSAKSI'!$B$10:$B$1000,"&lt;="&amp;EOMONTH(DATE(TahunSel,BulanSel,1),0))-SUMIFS('TRANSAKSI'!$I$10:$I$1000,'TRANSAKSI'!$E$10:$E$1000,$A30,'TRANSAKSI'!$B$10:$B$1000,"&gt;="&amp;DATE(TahunSel,1,1),'TRANSAKSI'!$B$10:$B$1000,"&lt;="&amp;EOMONTH(DATE(TahunSel,BulanSel,1),0))</f>
        <v/>
      </c>
    </row>
    <row r="31">
      <c r="A31" s="20" t="inlineStr">
        <is>
          <t>6.1.07.04</t>
        </is>
      </c>
      <c r="B31" s="4" t="inlineStr">
        <is>
          <t>Beban Penyusutan Meubelair</t>
        </is>
      </c>
      <c r="C31" s="9">
        <f>SUMIFS('TRANSAKSI'!$H$10:$H$1000,'TRANSAKSI'!$E$10:$E$1000,$A31,'TRANSAKSI'!$B$10:$B$1000,"&gt;="&amp;DATE(TahunSel,BulanSel,1),'TRANSAKSI'!$B$10:$B$1000,"&lt;="&amp;EOMONTH(DATE(TahunSel,BulanSel,1),0))-SUMIFS('TRANSAKSI'!$I$10:$I$1000,'TRANSAKSI'!$E$10:$E$1000,$A31,'TRANSAKSI'!$B$10:$B$1000,"&gt;="&amp;DATE(TahunSel,BulanSel,1),'TRANSAKSI'!$B$10:$B$1000,"&lt;="&amp;EOMONTH(DATE(TahunSel,BulanSel,1),0))</f>
        <v/>
      </c>
      <c r="D31" s="9">
        <f>SUMIFS('TRANSAKSI'!$H$10:$H$1000,'TRANSAKSI'!$E$10:$E$1000,$A31,'TRANSAKSI'!$B$10:$B$1000,"&gt;="&amp;DATE(TahunSel,1,1),'TRANSAKSI'!$B$10:$B$1000,"&lt;="&amp;EOMONTH(DATE(TahunSel,BulanSel,1),0))-SUMIFS('TRANSAKSI'!$I$10:$I$1000,'TRANSAKSI'!$E$10:$E$1000,$A31,'TRANSAKSI'!$B$10:$B$1000,"&gt;="&amp;DATE(TahunSel,1,1),'TRANSAKSI'!$B$10:$B$1000,"&lt;="&amp;EOMONTH(DATE(TahunSel,BulanSel,1),0))</f>
        <v/>
      </c>
    </row>
    <row r="32">
      <c r="A32" s="16" t="inlineStr">
        <is>
          <t>6.1.07.05</t>
        </is>
      </c>
      <c r="B32" s="15" t="inlineStr">
        <is>
          <t>Beban Penyusutan Gedung dan Bangunan</t>
        </is>
      </c>
      <c r="C32" s="17">
        <f>SUMIFS('TRANSAKSI'!$H$10:$H$1000,'TRANSAKSI'!$E$10:$E$1000,$A32,'TRANSAKSI'!$B$10:$B$1000,"&gt;="&amp;DATE(TahunSel,BulanSel,1),'TRANSAKSI'!$B$10:$B$1000,"&lt;="&amp;EOMONTH(DATE(TahunSel,BulanSel,1),0))-SUMIFS('TRANSAKSI'!$I$10:$I$1000,'TRANSAKSI'!$E$10:$E$1000,$A32,'TRANSAKSI'!$B$10:$B$1000,"&gt;="&amp;DATE(TahunSel,BulanSel,1),'TRANSAKSI'!$B$10:$B$1000,"&lt;="&amp;EOMONTH(DATE(TahunSel,BulanSel,1),0))</f>
        <v/>
      </c>
      <c r="D32" s="17">
        <f>SUMIFS('TRANSAKSI'!$H$10:$H$1000,'TRANSAKSI'!$E$10:$E$1000,$A32,'TRANSAKSI'!$B$10:$B$1000,"&gt;="&amp;DATE(TahunSel,1,1),'TRANSAKSI'!$B$10:$B$1000,"&lt;="&amp;EOMONTH(DATE(TahunSel,BulanSel,1),0))-SUMIFS('TRANSAKSI'!$I$10:$I$1000,'TRANSAKSI'!$E$10:$E$1000,$A32,'TRANSAKSI'!$B$10:$B$1000,"&gt;="&amp;DATE(TahunSel,1,1),'TRANSAKSI'!$B$10:$B$1000,"&lt;="&amp;EOMONTH(DATE(TahunSel,BulanSel,1),0))</f>
        <v/>
      </c>
    </row>
    <row r="33">
      <c r="A33" s="20" t="inlineStr">
        <is>
          <t>6.1.99.03</t>
        </is>
      </c>
      <c r="B33" s="4" t="inlineStr">
        <is>
          <t>Beban Perjalanan Dinas</t>
        </is>
      </c>
      <c r="C33" s="9">
        <f>SUMIFS('TRANSAKSI'!$H$10:$H$1000,'TRANSAKSI'!$E$10:$E$1000,$A33,'TRANSAKSI'!$B$10:$B$1000,"&gt;="&amp;DATE(TahunSel,BulanSel,1),'TRANSAKSI'!$B$10:$B$1000,"&lt;="&amp;EOMONTH(DATE(TahunSel,BulanSel,1),0))-SUMIFS('TRANSAKSI'!$I$10:$I$1000,'TRANSAKSI'!$E$10:$E$1000,$A33,'TRANSAKSI'!$B$10:$B$1000,"&gt;="&amp;DATE(TahunSel,BulanSel,1),'TRANSAKSI'!$B$10:$B$1000,"&lt;="&amp;EOMONTH(DATE(TahunSel,BulanSel,1),0))</f>
        <v/>
      </c>
      <c r="D33" s="9">
        <f>SUMIFS('TRANSAKSI'!$H$10:$H$1000,'TRANSAKSI'!$E$10:$E$1000,$A33,'TRANSAKSI'!$B$10:$B$1000,"&gt;="&amp;DATE(TahunSel,1,1),'TRANSAKSI'!$B$10:$B$1000,"&lt;="&amp;EOMONTH(DATE(TahunSel,BulanSel,1),0))-SUMIFS('TRANSAKSI'!$I$10:$I$1000,'TRANSAKSI'!$E$10:$E$1000,$A33,'TRANSAKSI'!$B$10:$B$1000,"&gt;="&amp;DATE(TahunSel,1,1),'TRANSAKSI'!$B$10:$B$1000,"&lt;="&amp;EOMONTH(DATE(TahunSel,BulanSel,1),0))</f>
        <v/>
      </c>
    </row>
    <row r="34">
      <c r="A34" s="16" t="inlineStr">
        <is>
          <t>6.1.99.05</t>
        </is>
      </c>
      <c r="B34" s="15" t="inlineStr">
        <is>
          <t>Beban Jamuan Tamu</t>
        </is>
      </c>
      <c r="C34" s="17">
        <f>SUMIFS('TRANSAKSI'!$H$10:$H$1000,'TRANSAKSI'!$E$10:$E$1000,$A34,'TRANSAKSI'!$B$10:$B$1000,"&gt;="&amp;DATE(TahunSel,BulanSel,1),'TRANSAKSI'!$B$10:$B$1000,"&lt;="&amp;EOMONTH(DATE(TahunSel,BulanSel,1),0))-SUMIFS('TRANSAKSI'!$I$10:$I$1000,'TRANSAKSI'!$E$10:$E$1000,$A34,'TRANSAKSI'!$B$10:$B$1000,"&gt;="&amp;DATE(TahunSel,BulanSel,1),'TRANSAKSI'!$B$10:$B$1000,"&lt;="&amp;EOMONTH(DATE(TahunSel,BulanSel,1),0))</f>
        <v/>
      </c>
      <c r="D34" s="17">
        <f>SUMIFS('TRANSAKSI'!$H$10:$H$1000,'TRANSAKSI'!$E$10:$E$1000,$A34,'TRANSAKSI'!$B$10:$B$1000,"&gt;="&amp;DATE(TahunSel,1,1),'TRANSAKSI'!$B$10:$B$1000,"&lt;="&amp;EOMONTH(DATE(TahunSel,BulanSel,1),0))-SUMIFS('TRANSAKSI'!$I$10:$I$1000,'TRANSAKSI'!$E$10:$E$1000,$A34,'TRANSAKSI'!$B$10:$B$1000,"&gt;="&amp;DATE(TahunSel,1,1),'TRANSAKSI'!$B$10:$B$1000,"&lt;="&amp;EOMONTH(DATE(TahunSel,BulanSel,1),0))</f>
        <v/>
      </c>
    </row>
    <row r="35">
      <c r="A35" s="20" t="inlineStr">
        <is>
          <t>6.2.01.03</t>
        </is>
      </c>
      <c r="B35" s="4" t="inlineStr">
        <is>
          <t>Beban Gaji Penasihat</t>
        </is>
      </c>
      <c r="C35" s="9">
        <f>SUMIFS('TRANSAKSI'!$H$10:$H$1000,'TRANSAKSI'!$E$10:$E$1000,$A35,'TRANSAKSI'!$B$10:$B$1000,"&gt;="&amp;DATE(TahunSel,BulanSel,1),'TRANSAKSI'!$B$10:$B$1000,"&lt;="&amp;EOMONTH(DATE(TahunSel,BulanSel,1),0))-SUMIFS('TRANSAKSI'!$I$10:$I$1000,'TRANSAKSI'!$E$10:$E$1000,$A35,'TRANSAKSI'!$B$10:$B$1000,"&gt;="&amp;DATE(TahunSel,BulanSel,1),'TRANSAKSI'!$B$10:$B$1000,"&lt;="&amp;EOMONTH(DATE(TahunSel,BulanSel,1),0))</f>
        <v/>
      </c>
      <c r="D35" s="9">
        <f>SUMIFS('TRANSAKSI'!$H$10:$H$1000,'TRANSAKSI'!$E$10:$E$1000,$A35,'TRANSAKSI'!$B$10:$B$1000,"&gt;="&amp;DATE(TahunSel,1,1),'TRANSAKSI'!$B$10:$B$1000,"&lt;="&amp;EOMONTH(DATE(TahunSel,BulanSel,1),0))-SUMIFS('TRANSAKSI'!$I$10:$I$1000,'TRANSAKSI'!$E$10:$E$1000,$A35,'TRANSAKSI'!$B$10:$B$1000,"&gt;="&amp;DATE(TahunSel,1,1),'TRANSAKSI'!$B$10:$B$1000,"&lt;="&amp;EOMONTH(DATE(TahunSel,BulanSel,1),0))</f>
        <v/>
      </c>
    </row>
    <row r="36">
      <c r="A36" s="16" t="inlineStr">
        <is>
          <t>6.2.01.04</t>
        </is>
      </c>
      <c r="B36" s="15" t="inlineStr">
        <is>
          <t>Beban Gaji Pengawas</t>
        </is>
      </c>
      <c r="C36" s="17">
        <f>SUMIFS('TRANSAKSI'!$H$10:$H$1000,'TRANSAKSI'!$E$10:$E$1000,$A36,'TRANSAKSI'!$B$10:$B$1000,"&gt;="&amp;DATE(TahunSel,BulanSel,1),'TRANSAKSI'!$B$10:$B$1000,"&lt;="&amp;EOMONTH(DATE(TahunSel,BulanSel,1),0))-SUMIFS('TRANSAKSI'!$I$10:$I$1000,'TRANSAKSI'!$E$10:$E$1000,$A36,'TRANSAKSI'!$B$10:$B$1000,"&gt;="&amp;DATE(TahunSel,BulanSel,1),'TRANSAKSI'!$B$10:$B$1000,"&lt;="&amp;EOMONTH(DATE(TahunSel,BulanSel,1),0))</f>
        <v/>
      </c>
      <c r="D36" s="17">
        <f>SUMIFS('TRANSAKSI'!$H$10:$H$1000,'TRANSAKSI'!$E$10:$E$1000,$A36,'TRANSAKSI'!$B$10:$B$1000,"&gt;="&amp;DATE(TahunSel,1,1),'TRANSAKSI'!$B$10:$B$1000,"&lt;="&amp;EOMONTH(DATE(TahunSel,BulanSel,1),0))-SUMIFS('TRANSAKSI'!$I$10:$I$1000,'TRANSAKSI'!$E$10:$E$1000,$A36,'TRANSAKSI'!$B$10:$B$1000,"&gt;="&amp;DATE(TahunSel,1,1),'TRANSAKSI'!$B$10:$B$1000,"&lt;="&amp;EOMONTH(DATE(TahunSel,BulanSel,1),0))</f>
        <v/>
      </c>
    </row>
    <row r="37">
      <c r="A37" s="20" t="inlineStr">
        <is>
          <t>6.2.01.05</t>
        </is>
      </c>
      <c r="B37" s="4" t="inlineStr">
        <is>
          <t>Beban Gaji Direktur</t>
        </is>
      </c>
      <c r="C37" s="9">
        <f>SUMIFS('TRANSAKSI'!$H$10:$H$1000,'TRANSAKSI'!$E$10:$E$1000,$A37,'TRANSAKSI'!$B$10:$B$1000,"&gt;="&amp;DATE(TahunSel,BulanSel,1),'TRANSAKSI'!$B$10:$B$1000,"&lt;="&amp;EOMONTH(DATE(TahunSel,BulanSel,1),0))-SUMIFS('TRANSAKSI'!$I$10:$I$1000,'TRANSAKSI'!$E$10:$E$1000,$A37,'TRANSAKSI'!$B$10:$B$1000,"&gt;="&amp;DATE(TahunSel,BulanSel,1),'TRANSAKSI'!$B$10:$B$1000,"&lt;="&amp;EOMONTH(DATE(TahunSel,BulanSel,1),0))</f>
        <v/>
      </c>
      <c r="D37" s="9">
        <f>SUMIFS('TRANSAKSI'!$H$10:$H$1000,'TRANSAKSI'!$E$10:$E$1000,$A37,'TRANSAKSI'!$B$10:$B$1000,"&gt;="&amp;DATE(TahunSel,1,1),'TRANSAKSI'!$B$10:$B$1000,"&lt;="&amp;EOMONTH(DATE(TahunSel,BulanSel,1),0))-SUMIFS('TRANSAKSI'!$I$10:$I$1000,'TRANSAKSI'!$E$10:$E$1000,$A37,'TRANSAKSI'!$B$10:$B$1000,"&gt;="&amp;DATE(TahunSel,1,1),'TRANSAKSI'!$B$10:$B$1000,"&lt;="&amp;EOMONTH(DATE(TahunSel,BulanSel,1),0))</f>
        <v/>
      </c>
    </row>
    <row r="38">
      <c r="A38" s="16" t="inlineStr">
        <is>
          <t>6.2.01.07</t>
        </is>
      </c>
      <c r="B38" s="15" t="inlineStr">
        <is>
          <t>Beban Gaji Bendahara</t>
        </is>
      </c>
      <c r="C38" s="17">
        <f>SUMIFS('TRANSAKSI'!$H$10:$H$1000,'TRANSAKSI'!$E$10:$E$1000,$A38,'TRANSAKSI'!$B$10:$B$1000,"&gt;="&amp;DATE(TahunSel,BulanSel,1),'TRANSAKSI'!$B$10:$B$1000,"&lt;="&amp;EOMONTH(DATE(TahunSel,BulanSel,1),0))-SUMIFS('TRANSAKSI'!$I$10:$I$1000,'TRANSAKSI'!$E$10:$E$1000,$A38,'TRANSAKSI'!$B$10:$B$1000,"&gt;="&amp;DATE(TahunSel,BulanSel,1),'TRANSAKSI'!$B$10:$B$1000,"&lt;="&amp;EOMONTH(DATE(TahunSel,BulanSel,1),0))</f>
        <v/>
      </c>
      <c r="D38" s="17">
        <f>SUMIFS('TRANSAKSI'!$H$10:$H$1000,'TRANSAKSI'!$E$10:$E$1000,$A38,'TRANSAKSI'!$B$10:$B$1000,"&gt;="&amp;DATE(TahunSel,1,1),'TRANSAKSI'!$B$10:$B$1000,"&lt;="&amp;EOMONTH(DATE(TahunSel,BulanSel,1),0))-SUMIFS('TRANSAKSI'!$I$10:$I$1000,'TRANSAKSI'!$E$10:$E$1000,$A38,'TRANSAKSI'!$B$10:$B$1000,"&gt;="&amp;DATE(TahunSel,1,1),'TRANSAKSI'!$B$10:$B$1000,"&lt;="&amp;EOMONTH(DATE(TahunSel,BulanSel,1),0))</f>
        <v/>
      </c>
    </row>
    <row r="39">
      <c r="A39" s="20" t="inlineStr">
        <is>
          <t>6.2.02.02</t>
        </is>
      </c>
      <c r="B39" s="4" t="inlineStr">
        <is>
          <t>Beban Perbaikan dan Renovasi</t>
        </is>
      </c>
      <c r="C39" s="9">
        <f>SUMIFS('TRANSAKSI'!$H$10:$H$1000,'TRANSAKSI'!$E$10:$E$1000,$A39,'TRANSAKSI'!$B$10:$B$1000,"&gt;="&amp;DATE(TahunSel,BulanSel,1),'TRANSAKSI'!$B$10:$B$1000,"&lt;="&amp;EOMONTH(DATE(TahunSel,BulanSel,1),0))-SUMIFS('TRANSAKSI'!$I$10:$I$1000,'TRANSAKSI'!$E$10:$E$1000,$A39,'TRANSAKSI'!$B$10:$B$1000,"&gt;="&amp;DATE(TahunSel,BulanSel,1),'TRANSAKSI'!$B$10:$B$1000,"&lt;="&amp;EOMONTH(DATE(TahunSel,BulanSel,1),0))</f>
        <v/>
      </c>
      <c r="D39" s="9">
        <f>SUMIFS('TRANSAKSI'!$H$10:$H$1000,'TRANSAKSI'!$E$10:$E$1000,$A39,'TRANSAKSI'!$B$10:$B$1000,"&gt;="&amp;DATE(TahunSel,1,1),'TRANSAKSI'!$B$10:$B$1000,"&lt;="&amp;EOMONTH(DATE(TahunSel,BulanSel,1),0))-SUMIFS('TRANSAKSI'!$I$10:$I$1000,'TRANSAKSI'!$E$10:$E$1000,$A39,'TRANSAKSI'!$B$10:$B$1000,"&gt;="&amp;DATE(TahunSel,1,1),'TRANSAKSI'!$B$10:$B$1000,"&lt;="&amp;EOMONTH(DATE(TahunSel,BulanSel,1),0))</f>
        <v/>
      </c>
    </row>
    <row r="40">
      <c r="A40" s="16" t="inlineStr">
        <is>
          <t>6.2.99.02</t>
        </is>
      </c>
      <c r="B40" s="15" t="inlineStr">
        <is>
          <t>Beban Sewa Lokasi</t>
        </is>
      </c>
      <c r="C40" s="17">
        <f>SUMIFS('TRANSAKSI'!$H$10:$H$1000,'TRANSAKSI'!$E$10:$E$1000,$A40,'TRANSAKSI'!$B$10:$B$1000,"&gt;="&amp;DATE(TahunSel,BulanSel,1),'TRANSAKSI'!$B$10:$B$1000,"&lt;="&amp;EOMONTH(DATE(TahunSel,BulanSel,1),0))-SUMIFS('TRANSAKSI'!$I$10:$I$1000,'TRANSAKSI'!$E$10:$E$1000,$A40,'TRANSAKSI'!$B$10:$B$1000,"&gt;="&amp;DATE(TahunSel,BulanSel,1),'TRANSAKSI'!$B$10:$B$1000,"&lt;="&amp;EOMONTH(DATE(TahunSel,BulanSel,1),0))</f>
        <v/>
      </c>
      <c r="D40" s="17">
        <f>SUMIFS('TRANSAKSI'!$H$10:$H$1000,'TRANSAKSI'!$E$10:$E$1000,$A40,'TRANSAKSI'!$B$10:$B$1000,"&gt;="&amp;DATE(TahunSel,1,1),'TRANSAKSI'!$B$10:$B$1000,"&lt;="&amp;EOMONTH(DATE(TahunSel,BulanSel,1),0))-SUMIFS('TRANSAKSI'!$I$10:$I$1000,'TRANSAKSI'!$E$10:$E$1000,$A40,'TRANSAKSI'!$B$10:$B$1000,"&gt;="&amp;DATE(TahunSel,1,1),'TRANSAKSI'!$B$10:$B$1000,"&lt;="&amp;EOMONTH(DATE(TahunSel,BulanSel,1),0))</f>
        <v/>
      </c>
    </row>
    <row r="41">
      <c r="A41" s="20" t="inlineStr">
        <is>
          <t>6.2.99.04</t>
        </is>
      </c>
      <c r="B41" s="4" t="inlineStr">
        <is>
          <t>Beban Pakan Ternak</t>
        </is>
      </c>
      <c r="C41" s="9">
        <f>SUMIFS('TRANSAKSI'!$H$10:$H$1000,'TRANSAKSI'!$E$10:$E$1000,$A41,'TRANSAKSI'!$B$10:$B$1000,"&gt;="&amp;DATE(TahunSel,BulanSel,1),'TRANSAKSI'!$B$10:$B$1000,"&lt;="&amp;EOMONTH(DATE(TahunSel,BulanSel,1),0))-SUMIFS('TRANSAKSI'!$I$10:$I$1000,'TRANSAKSI'!$E$10:$E$1000,$A41,'TRANSAKSI'!$B$10:$B$1000,"&gt;="&amp;DATE(TahunSel,BulanSel,1),'TRANSAKSI'!$B$10:$B$1000,"&lt;="&amp;EOMONTH(DATE(TahunSel,BulanSel,1),0))</f>
        <v/>
      </c>
      <c r="D41" s="9">
        <f>SUMIFS('TRANSAKSI'!$H$10:$H$1000,'TRANSAKSI'!$E$10:$E$1000,$A41,'TRANSAKSI'!$B$10:$B$1000,"&gt;="&amp;DATE(TahunSel,1,1),'TRANSAKSI'!$B$10:$B$1000,"&lt;="&amp;EOMONTH(DATE(TahunSel,BulanSel,1),0))-SUMIFS('TRANSAKSI'!$I$10:$I$1000,'TRANSAKSI'!$E$10:$E$1000,$A41,'TRANSAKSI'!$B$10:$B$1000,"&gt;="&amp;DATE(TahunSel,1,1),'TRANSAKSI'!$B$10:$B$1000,"&lt;="&amp;EOMONTH(DATE(TahunSel,BulanSel,1),0))</f>
        <v/>
      </c>
    </row>
    <row r="42">
      <c r="A42" s="16" t="inlineStr">
        <is>
          <t>6.2.99.05</t>
        </is>
      </c>
      <c r="B42" s="15" t="inlineStr">
        <is>
          <t>Beban Pupuk dan Obat-obatan</t>
        </is>
      </c>
      <c r="C42" s="17">
        <f>SUMIFS('TRANSAKSI'!$H$10:$H$1000,'TRANSAKSI'!$E$10:$E$1000,$A42,'TRANSAKSI'!$B$10:$B$1000,"&gt;="&amp;DATE(TahunSel,BulanSel,1),'TRANSAKSI'!$B$10:$B$1000,"&lt;="&amp;EOMONTH(DATE(TahunSel,BulanSel,1),0))-SUMIFS('TRANSAKSI'!$I$10:$I$1000,'TRANSAKSI'!$E$10:$E$1000,$A42,'TRANSAKSI'!$B$10:$B$1000,"&gt;="&amp;DATE(TahunSel,BulanSel,1),'TRANSAKSI'!$B$10:$B$1000,"&lt;="&amp;EOMONTH(DATE(TahunSel,BulanSel,1),0))</f>
        <v/>
      </c>
      <c r="D42" s="17">
        <f>SUMIFS('TRANSAKSI'!$H$10:$H$1000,'TRANSAKSI'!$E$10:$E$1000,$A42,'TRANSAKSI'!$B$10:$B$1000,"&gt;="&amp;DATE(TahunSel,1,1),'TRANSAKSI'!$B$10:$B$1000,"&lt;="&amp;EOMONTH(DATE(TahunSel,BulanSel,1),0))-SUMIFS('TRANSAKSI'!$I$10:$I$1000,'TRANSAKSI'!$E$10:$E$1000,$A42,'TRANSAKSI'!$B$10:$B$1000,"&gt;="&amp;DATE(TahunSel,1,1),'TRANSAKSI'!$B$10:$B$1000,"&lt;="&amp;EOMONTH(DATE(TahunSel,BulanSel,1),0))</f>
        <v/>
      </c>
    </row>
    <row r="43">
      <c r="A43" s="20" t="inlineStr">
        <is>
          <t>6.2.99.06</t>
        </is>
      </c>
      <c r="B43" s="4" t="inlineStr">
        <is>
          <t>Beban Peralatan dan Mesin</t>
        </is>
      </c>
      <c r="C43" s="9">
        <f>SUMIFS('TRANSAKSI'!$H$10:$H$1000,'TRANSAKSI'!$E$10:$E$1000,$A43,'TRANSAKSI'!$B$10:$B$1000,"&gt;="&amp;DATE(TahunSel,BulanSel,1),'TRANSAKSI'!$B$10:$B$1000,"&lt;="&amp;EOMONTH(DATE(TahunSel,BulanSel,1),0))-SUMIFS('TRANSAKSI'!$I$10:$I$1000,'TRANSAKSI'!$E$10:$E$1000,$A43,'TRANSAKSI'!$B$10:$B$1000,"&gt;="&amp;DATE(TahunSel,BulanSel,1),'TRANSAKSI'!$B$10:$B$1000,"&lt;="&amp;EOMONTH(DATE(TahunSel,BulanSel,1),0))</f>
        <v/>
      </c>
      <c r="D43" s="9">
        <f>SUMIFS('TRANSAKSI'!$H$10:$H$1000,'TRANSAKSI'!$E$10:$E$1000,$A43,'TRANSAKSI'!$B$10:$B$1000,"&gt;="&amp;DATE(TahunSel,1,1),'TRANSAKSI'!$B$10:$B$1000,"&lt;="&amp;EOMONTH(DATE(TahunSel,BulanSel,1),0))-SUMIFS('TRANSAKSI'!$I$10:$I$1000,'TRANSAKSI'!$E$10:$E$1000,$A43,'TRANSAKSI'!$B$10:$B$1000,"&gt;="&amp;DATE(TahunSel,1,1),'TRANSAKSI'!$B$10:$B$1000,"&lt;="&amp;EOMONTH(DATE(TahunSel,BulanSel,1),0))</f>
        <v/>
      </c>
    </row>
    <row r="44">
      <c r="A44" s="16" t="inlineStr">
        <is>
          <t>6.2.99.07</t>
        </is>
      </c>
      <c r="B44" s="15" t="inlineStr">
        <is>
          <t>Beban Vaksinasi dan Obat</t>
        </is>
      </c>
      <c r="C44" s="17">
        <f>SUMIFS('TRANSAKSI'!$H$10:$H$1000,'TRANSAKSI'!$E$10:$E$1000,$A44,'TRANSAKSI'!$B$10:$B$1000,"&gt;="&amp;DATE(TahunSel,BulanSel,1),'TRANSAKSI'!$B$10:$B$1000,"&lt;="&amp;EOMONTH(DATE(TahunSel,BulanSel,1),0))-SUMIFS('TRANSAKSI'!$I$10:$I$1000,'TRANSAKSI'!$E$10:$E$1000,$A44,'TRANSAKSI'!$B$10:$B$1000,"&gt;="&amp;DATE(TahunSel,BulanSel,1),'TRANSAKSI'!$B$10:$B$1000,"&lt;="&amp;EOMONTH(DATE(TahunSel,BulanSel,1),0))</f>
        <v/>
      </c>
      <c r="D44" s="17">
        <f>SUMIFS('TRANSAKSI'!$H$10:$H$1000,'TRANSAKSI'!$E$10:$E$1000,$A44,'TRANSAKSI'!$B$10:$B$1000,"&gt;="&amp;DATE(TahunSel,1,1),'TRANSAKSI'!$B$10:$B$1000,"&lt;="&amp;EOMONTH(DATE(TahunSel,BulanSel,1),0))-SUMIFS('TRANSAKSI'!$I$10:$I$1000,'TRANSAKSI'!$E$10:$E$1000,$A44,'TRANSAKSI'!$B$10:$B$1000,"&gt;="&amp;DATE(TahunSel,1,1),'TRANSAKSI'!$B$10:$B$1000,"&lt;="&amp;EOMONTH(DATE(TahunSel,BulanSel,1),0))</f>
        <v/>
      </c>
    </row>
    <row r="45">
      <c r="A45" s="20" t="inlineStr">
        <is>
          <t>6.2.99.99</t>
        </is>
      </c>
      <c r="B45" s="4" t="inlineStr">
        <is>
          <t>Beban Operasional Lainnya</t>
        </is>
      </c>
      <c r="C45" s="9">
        <f>SUMIFS('TRANSAKSI'!$H$10:$H$1000,'TRANSAKSI'!$E$10:$E$1000,$A45,'TRANSAKSI'!$B$10:$B$1000,"&gt;="&amp;DATE(TahunSel,BulanSel,1),'TRANSAKSI'!$B$10:$B$1000,"&lt;="&amp;EOMONTH(DATE(TahunSel,BulanSel,1),0))-SUMIFS('TRANSAKSI'!$I$10:$I$1000,'TRANSAKSI'!$E$10:$E$1000,$A45,'TRANSAKSI'!$B$10:$B$1000,"&gt;="&amp;DATE(TahunSel,BulanSel,1),'TRANSAKSI'!$B$10:$B$1000,"&lt;="&amp;EOMONTH(DATE(TahunSel,BulanSel,1),0))</f>
        <v/>
      </c>
      <c r="D45" s="9">
        <f>SUMIFS('TRANSAKSI'!$H$10:$H$1000,'TRANSAKSI'!$E$10:$E$1000,$A45,'TRANSAKSI'!$B$10:$B$1000,"&gt;="&amp;DATE(TahunSel,1,1),'TRANSAKSI'!$B$10:$B$1000,"&lt;="&amp;EOMONTH(DATE(TahunSel,BulanSel,1),0))-SUMIFS('TRANSAKSI'!$I$10:$I$1000,'TRANSAKSI'!$E$10:$E$1000,$A45,'TRANSAKSI'!$B$10:$B$1000,"&gt;="&amp;DATE(TahunSel,1,1),'TRANSAKSI'!$B$10:$B$1000,"&lt;="&amp;EOMONTH(DATE(TahunSel,BulanSel,1),0))</f>
        <v/>
      </c>
    </row>
    <row r="46">
      <c r="A46" s="16" t="inlineStr">
        <is>
          <t>7.2.01.01</t>
        </is>
      </c>
      <c r="B46" s="15" t="inlineStr">
        <is>
          <t>Beban Administrasi Bank</t>
        </is>
      </c>
      <c r="C46" s="17">
        <f>SUMIFS('TRANSAKSI'!$H$10:$H$1000,'TRANSAKSI'!$E$10:$E$1000,$A46,'TRANSAKSI'!$B$10:$B$1000,"&gt;="&amp;DATE(TahunSel,BulanSel,1),'TRANSAKSI'!$B$10:$B$1000,"&lt;="&amp;EOMONTH(DATE(TahunSel,BulanSel,1),0))-SUMIFS('TRANSAKSI'!$I$10:$I$1000,'TRANSAKSI'!$E$10:$E$1000,$A46,'TRANSAKSI'!$B$10:$B$1000,"&gt;="&amp;DATE(TahunSel,BulanSel,1),'TRANSAKSI'!$B$10:$B$1000,"&lt;="&amp;EOMONTH(DATE(TahunSel,BulanSel,1),0))</f>
        <v/>
      </c>
      <c r="D46" s="17">
        <f>SUMIFS('TRANSAKSI'!$H$10:$H$1000,'TRANSAKSI'!$E$10:$E$1000,$A46,'TRANSAKSI'!$B$10:$B$1000,"&gt;="&amp;DATE(TahunSel,1,1),'TRANSAKSI'!$B$10:$B$1000,"&lt;="&amp;EOMONTH(DATE(TahunSel,BulanSel,1),0))-SUMIFS('TRANSAKSI'!$I$10:$I$1000,'TRANSAKSI'!$E$10:$E$1000,$A46,'TRANSAKSI'!$B$10:$B$1000,"&gt;="&amp;DATE(TahunSel,1,1),'TRANSAKSI'!$B$10:$B$1000,"&lt;="&amp;EOMONTH(DATE(TahunSel,BulanSel,1),0))</f>
        <v/>
      </c>
    </row>
    <row r="47">
      <c r="A47" s="20" t="inlineStr">
        <is>
          <t>7.3.01.03</t>
        </is>
      </c>
      <c r="B47" s="4" t="inlineStr">
        <is>
          <t>Beban Pajak Daerah</t>
        </is>
      </c>
      <c r="C47" s="9">
        <f>SUMIFS('TRANSAKSI'!$H$10:$H$1000,'TRANSAKSI'!$E$10:$E$1000,$A47,'TRANSAKSI'!$B$10:$B$1000,"&gt;="&amp;DATE(TahunSel,BulanSel,1),'TRANSAKSI'!$B$10:$B$1000,"&lt;="&amp;EOMONTH(DATE(TahunSel,BulanSel,1),0))-SUMIFS('TRANSAKSI'!$I$10:$I$1000,'TRANSAKSI'!$E$10:$E$1000,$A47,'TRANSAKSI'!$B$10:$B$1000,"&gt;="&amp;DATE(TahunSel,BulanSel,1),'TRANSAKSI'!$B$10:$B$1000,"&lt;="&amp;EOMONTH(DATE(TahunSel,BulanSel,1),0))</f>
        <v/>
      </c>
      <c r="D47" s="9">
        <f>SUMIFS('TRANSAKSI'!$H$10:$H$1000,'TRANSAKSI'!$E$10:$E$1000,$A47,'TRANSAKSI'!$B$10:$B$1000,"&gt;="&amp;DATE(TahunSel,1,1),'TRANSAKSI'!$B$10:$B$1000,"&lt;="&amp;EOMONTH(DATE(TahunSel,BulanSel,1),0))-SUMIFS('TRANSAKSI'!$I$10:$I$1000,'TRANSAKSI'!$E$10:$E$1000,$A47,'TRANSAKSI'!$B$10:$B$1000,"&gt;="&amp;DATE(TahunSel,1,1),'TRANSAKSI'!$B$10:$B$1000,"&lt;="&amp;EOMONTH(DATE(TahunSel,BulanSel,1),0))</f>
        <v/>
      </c>
    </row>
    <row r="48">
      <c r="A48" s="6" t="n"/>
      <c r="B48" s="6" t="inlineStr">
        <is>
          <t>Total Beban</t>
        </is>
      </c>
      <c r="C48" s="23">
        <f>SUM(C24:C47)</f>
        <v/>
      </c>
      <c r="D48" s="23">
        <f>SUM(D24:D47)</f>
        <v/>
      </c>
    </row>
    <row r="50">
      <c r="A50" s="6" t="n"/>
      <c r="B50" s="6" t="inlineStr">
        <is>
          <t>SURPLUS / (RUGI)</t>
        </is>
      </c>
      <c r="C50" s="23">
        <f>C21-C48</f>
        <v/>
      </c>
      <c r="D50" s="23">
        <f>D21-D48</f>
        <v/>
      </c>
    </row>
    <row r="54">
      <c r="B54">
        <f>"Curahdringu, "&amp;TEXT(EOMONTH(DATE(TahunSel,BulanSel,1),0),"dd mmmm yyyy")</f>
        <v/>
      </c>
    </row>
    <row r="56">
      <c r="B56" s="26">
        <f>PENGATURAN!$C$9</f>
        <v/>
      </c>
      <c r="D56" s="26">
        <f>PENGATURAN!$C$10</f>
        <v/>
      </c>
    </row>
    <row r="57">
      <c r="B57" t="inlineStr">
        <is>
          <t>Direktur</t>
        </is>
      </c>
      <c r="D57" t="inlineStr">
        <is>
          <t>Bendahara</t>
        </is>
      </c>
    </row>
    <row r="59">
      <c r="B59" s="10" t="inlineStr">
        <is>
          <t>Penasihat/Pengawas dapat diisi di PENGATURAN.</t>
        </is>
      </c>
    </row>
  </sheetData>
  <mergeCells count="1">
    <mergeCell ref="B2:D2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B2:H17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4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>
      <c r="B2" s="11" t="inlineStr">
        <is>
          <t>LAPORAN ARUS KAS</t>
        </is>
      </c>
    </row>
    <row r="3">
      <c r="B3" s="2">
        <f>"Periode: "&amp;TEXT(DATE(TahunSel,BulanSel,1),"mmmm yyyy")</f>
        <v/>
      </c>
    </row>
    <row r="6">
      <c r="B6" s="12" t="inlineStr">
        <is>
          <t>KODE AKUN KAS</t>
        </is>
      </c>
      <c r="C6" s="12" t="inlineStr">
        <is>
          <t>NAMA REKENING KAS</t>
        </is>
      </c>
      <c r="D6" s="12" t="inlineStr">
        <is>
          <t>SALDO AWAL BULAN</t>
        </is>
      </c>
      <c r="E6" s="12" t="inlineStr">
        <is>
          <t>PENERIMAAN KAS</t>
        </is>
      </c>
      <c r="F6" s="12" t="inlineStr">
        <is>
          <t>PENGELUARAN KAS</t>
        </is>
      </c>
      <c r="G6" s="12" t="inlineStr">
        <is>
          <t>ARUS BERSIH</t>
        </is>
      </c>
      <c r="H6" s="12" t="inlineStr">
        <is>
          <t>SALDO AKHIR</t>
        </is>
      </c>
    </row>
    <row r="7">
      <c r="B7" s="21" t="inlineStr">
        <is>
          <t>REKENING KAS (kriteria kode akun 1.1.01*)</t>
        </is>
      </c>
      <c r="C7" s="22" t="n"/>
      <c r="D7" s="22" t="n"/>
      <c r="E7" s="22" t="n"/>
      <c r="F7" s="22" t="n"/>
      <c r="G7" s="22" t="n"/>
      <c r="H7" s="22" t="n"/>
    </row>
    <row r="8">
      <c r="B8" s="16" t="inlineStr">
        <is>
          <t>1.1.01.01</t>
        </is>
      </c>
      <c r="C8" s="15" t="inlineStr">
        <is>
          <t>Kas Tunai</t>
        </is>
      </c>
      <c r="D8" s="17">
        <f>SUMIFS('TRANSAKSI'!$H$10:$H$1000,'TRANSAKSI'!$E$10:$E$1000,$B8,'TRANSAKSI'!$B$10:$B$1000,"&lt;"&amp;DATE(TahunSel,BulanSel,1))-SUMIFS('TRANSAKSI'!$I$10:$I$1000,'TRANSAKSI'!$E$10:$E$1000,$B8,'TRANSAKSI'!$B$10:$B$1000,"&lt;"&amp;DATE(TahunSel,BulanSel,1))</f>
        <v/>
      </c>
      <c r="E8" s="17">
        <f>SUMIFS('TRANSAKSI'!$H$10:$H$1000,'TRANSAKSI'!$E$10:$E$1000,$B8,'TRANSAKSI'!$B$10:$B$1000,"&gt;="&amp;DATE(TahunSel,BulanSel,1),'TRANSAKSI'!$B$10:$B$1000,"&lt;="&amp;EOMONTH(DATE(TahunSel,BulanSel,1),0))</f>
        <v/>
      </c>
      <c r="F8" s="17">
        <f>SUMIFS('TRANSAKSI'!$I$10:$I$1000,'TRANSAKSI'!$E$10:$E$1000,$B8,'TRANSAKSI'!$B$10:$B$1000,"&gt;="&amp;DATE(TahunSel,BulanSel,1),'TRANSAKSI'!$B$10:$B$1000,"&lt;="&amp;EOMONTH(DATE(TahunSel,BulanSel,1),0))</f>
        <v/>
      </c>
      <c r="G8" s="17">
        <f>E8-F8</f>
        <v/>
      </c>
      <c r="H8" s="17">
        <f>D8+G8</f>
        <v/>
      </c>
    </row>
    <row r="9">
      <c r="B9" s="20" t="inlineStr">
        <is>
          <t>1.1.01.02</t>
        </is>
      </c>
      <c r="C9" s="4" t="inlineStr">
        <is>
          <t>Kas di Bank BSI</t>
        </is>
      </c>
      <c r="D9" s="9">
        <f>SUMIFS('TRANSAKSI'!$H$10:$H$1000,'TRANSAKSI'!$E$10:$E$1000,$B9,'TRANSAKSI'!$B$10:$B$1000,"&lt;"&amp;DATE(TahunSel,BulanSel,1))-SUMIFS('TRANSAKSI'!$I$10:$I$1000,'TRANSAKSI'!$E$10:$E$1000,$B9,'TRANSAKSI'!$B$10:$B$1000,"&lt;"&amp;DATE(TahunSel,BulanSel,1))</f>
        <v/>
      </c>
      <c r="E9" s="9">
        <f>SUMIFS('TRANSAKSI'!$H$10:$H$1000,'TRANSAKSI'!$E$10:$E$1000,$B9,'TRANSAKSI'!$B$10:$B$1000,"&gt;="&amp;DATE(TahunSel,BulanSel,1),'TRANSAKSI'!$B$10:$B$1000,"&lt;="&amp;EOMONTH(DATE(TahunSel,BulanSel,1),0))</f>
        <v/>
      </c>
      <c r="F9" s="9">
        <f>SUMIFS('TRANSAKSI'!$I$10:$I$1000,'TRANSAKSI'!$E$10:$E$1000,$B9,'TRANSAKSI'!$B$10:$B$1000,"&gt;="&amp;DATE(TahunSel,BulanSel,1),'TRANSAKSI'!$B$10:$B$1000,"&lt;="&amp;EOMONTH(DATE(TahunSel,BulanSel,1),0))</f>
        <v/>
      </c>
      <c r="G9" s="9">
        <f>E9-F9</f>
        <v/>
      </c>
      <c r="H9" s="9">
        <f>D9+G9</f>
        <v/>
      </c>
    </row>
    <row r="10">
      <c r="B10" s="16" t="inlineStr">
        <is>
          <t>1.1.01.03</t>
        </is>
      </c>
      <c r="C10" s="15" t="inlineStr">
        <is>
          <t>Kas di Bank Mandiri</t>
        </is>
      </c>
      <c r="D10" s="17">
        <f>SUMIFS('TRANSAKSI'!$H$10:$H$1000,'TRANSAKSI'!$E$10:$E$1000,$B10,'TRANSAKSI'!$B$10:$B$1000,"&lt;"&amp;DATE(TahunSel,BulanSel,1))-SUMIFS('TRANSAKSI'!$I$10:$I$1000,'TRANSAKSI'!$E$10:$E$1000,$B10,'TRANSAKSI'!$B$10:$B$1000,"&lt;"&amp;DATE(TahunSel,BulanSel,1))</f>
        <v/>
      </c>
      <c r="E10" s="17">
        <f>SUMIFS('TRANSAKSI'!$H$10:$H$1000,'TRANSAKSI'!$E$10:$E$1000,$B10,'TRANSAKSI'!$B$10:$B$1000,"&gt;="&amp;DATE(TahunSel,BulanSel,1),'TRANSAKSI'!$B$10:$B$1000,"&lt;="&amp;EOMONTH(DATE(TahunSel,BulanSel,1),0))</f>
        <v/>
      </c>
      <c r="F10" s="17">
        <f>SUMIFS('TRANSAKSI'!$I$10:$I$1000,'TRANSAKSI'!$E$10:$E$1000,$B10,'TRANSAKSI'!$B$10:$B$1000,"&gt;="&amp;DATE(TahunSel,BulanSel,1),'TRANSAKSI'!$B$10:$B$1000,"&lt;="&amp;EOMONTH(DATE(TahunSel,BulanSel,1),0))</f>
        <v/>
      </c>
      <c r="G10" s="17">
        <f>E10-F10</f>
        <v/>
      </c>
      <c r="H10" s="17">
        <f>D10+G10</f>
        <v/>
      </c>
    </row>
    <row r="11">
      <c r="B11" s="20" t="inlineStr">
        <is>
          <t>1.1.01.04</t>
        </is>
      </c>
      <c r="C11" s="4" t="inlineStr">
        <is>
          <t>Kas di Bank BRI</t>
        </is>
      </c>
      <c r="D11" s="9">
        <f>SUMIFS('TRANSAKSI'!$H$10:$H$1000,'TRANSAKSI'!$E$10:$E$1000,$B11,'TRANSAKSI'!$B$10:$B$1000,"&lt;"&amp;DATE(TahunSel,BulanSel,1))-SUMIFS('TRANSAKSI'!$I$10:$I$1000,'TRANSAKSI'!$E$10:$E$1000,$B11,'TRANSAKSI'!$B$10:$B$1000,"&lt;"&amp;DATE(TahunSel,BulanSel,1))</f>
        <v/>
      </c>
      <c r="E11" s="9">
        <f>SUMIFS('TRANSAKSI'!$H$10:$H$1000,'TRANSAKSI'!$E$10:$E$1000,$B11,'TRANSAKSI'!$B$10:$B$1000,"&gt;="&amp;DATE(TahunSel,BulanSel,1),'TRANSAKSI'!$B$10:$B$1000,"&lt;="&amp;EOMONTH(DATE(TahunSel,BulanSel,1),0))</f>
        <v/>
      </c>
      <c r="F11" s="9">
        <f>SUMIFS('TRANSAKSI'!$I$10:$I$1000,'TRANSAKSI'!$E$10:$E$1000,$B11,'TRANSAKSI'!$B$10:$B$1000,"&gt;="&amp;DATE(TahunSel,BulanSel,1),'TRANSAKSI'!$B$10:$B$1000,"&lt;="&amp;EOMONTH(DATE(TahunSel,BulanSel,1),0))</f>
        <v/>
      </c>
      <c r="G11" s="9">
        <f>E11-F11</f>
        <v/>
      </c>
      <c r="H11" s="9">
        <f>D11+G11</f>
        <v/>
      </c>
    </row>
    <row r="12">
      <c r="B12" s="16" t="inlineStr">
        <is>
          <t>1.1.01.05</t>
        </is>
      </c>
      <c r="C12" s="15" t="inlineStr">
        <is>
          <t>Kas di Bank BPD</t>
        </is>
      </c>
      <c r="D12" s="17">
        <f>SUMIFS('TRANSAKSI'!$H$10:$H$1000,'TRANSAKSI'!$E$10:$E$1000,$B12,'TRANSAKSI'!$B$10:$B$1000,"&lt;"&amp;DATE(TahunSel,BulanSel,1))-SUMIFS('TRANSAKSI'!$I$10:$I$1000,'TRANSAKSI'!$E$10:$E$1000,$B12,'TRANSAKSI'!$B$10:$B$1000,"&lt;"&amp;DATE(TahunSel,BulanSel,1))</f>
        <v/>
      </c>
      <c r="E12" s="17">
        <f>SUMIFS('TRANSAKSI'!$H$10:$H$1000,'TRANSAKSI'!$E$10:$E$1000,$B12,'TRANSAKSI'!$B$10:$B$1000,"&gt;="&amp;DATE(TahunSel,BulanSel,1),'TRANSAKSI'!$B$10:$B$1000,"&lt;="&amp;EOMONTH(DATE(TahunSel,BulanSel,1),0))</f>
        <v/>
      </c>
      <c r="F12" s="17">
        <f>SUMIFS('TRANSAKSI'!$I$10:$I$1000,'TRANSAKSI'!$E$10:$E$1000,$B12,'TRANSAKSI'!$B$10:$B$1000,"&gt;="&amp;DATE(TahunSel,BulanSel,1),'TRANSAKSI'!$B$10:$B$1000,"&lt;="&amp;EOMONTH(DATE(TahunSel,BulanSel,1),0))</f>
        <v/>
      </c>
      <c r="G12" s="17">
        <f>E12-F12</f>
        <v/>
      </c>
      <c r="H12" s="17">
        <f>D12+G12</f>
        <v/>
      </c>
    </row>
    <row r="13">
      <c r="B13" s="20" t="inlineStr">
        <is>
          <t>1.1.01.06</t>
        </is>
      </c>
      <c r="C13" s="4" t="inlineStr">
        <is>
          <t>Kas di Bank Jatim</t>
        </is>
      </c>
      <c r="D13" s="9">
        <f>SUMIFS('TRANSAKSI'!$H$10:$H$1000,'TRANSAKSI'!$E$10:$E$1000,$B13,'TRANSAKSI'!$B$10:$B$1000,"&lt;"&amp;DATE(TahunSel,BulanSel,1))-SUMIFS('TRANSAKSI'!$I$10:$I$1000,'TRANSAKSI'!$E$10:$E$1000,$B13,'TRANSAKSI'!$B$10:$B$1000,"&lt;"&amp;DATE(TahunSel,BulanSel,1))</f>
        <v/>
      </c>
      <c r="E13" s="9">
        <f>SUMIFS('TRANSAKSI'!$H$10:$H$1000,'TRANSAKSI'!$E$10:$E$1000,$B13,'TRANSAKSI'!$B$10:$B$1000,"&gt;="&amp;DATE(TahunSel,BulanSel,1),'TRANSAKSI'!$B$10:$B$1000,"&lt;="&amp;EOMONTH(DATE(TahunSel,BulanSel,1),0))</f>
        <v/>
      </c>
      <c r="F13" s="9">
        <f>SUMIFS('TRANSAKSI'!$I$10:$I$1000,'TRANSAKSI'!$E$10:$E$1000,$B13,'TRANSAKSI'!$B$10:$B$1000,"&gt;="&amp;DATE(TahunSel,BulanSel,1),'TRANSAKSI'!$B$10:$B$1000,"&lt;="&amp;EOMONTH(DATE(TahunSel,BulanSel,1),0))</f>
        <v/>
      </c>
      <c r="G13" s="9">
        <f>E13-F13</f>
        <v/>
      </c>
      <c r="H13" s="9">
        <f>D13+G13</f>
        <v/>
      </c>
    </row>
    <row r="14">
      <c r="B14" s="16" t="inlineStr">
        <is>
          <t>1.1.01.98</t>
        </is>
      </c>
      <c r="C14" s="15" t="inlineStr">
        <is>
          <t>Kas Kecil (Petty Cash)</t>
        </is>
      </c>
      <c r="D14" s="17">
        <f>SUMIFS('TRANSAKSI'!$H$10:$H$1000,'TRANSAKSI'!$E$10:$E$1000,$B14,'TRANSAKSI'!$B$10:$B$1000,"&lt;"&amp;DATE(TahunSel,BulanSel,1))-SUMIFS('TRANSAKSI'!$I$10:$I$1000,'TRANSAKSI'!$E$10:$E$1000,$B14,'TRANSAKSI'!$B$10:$B$1000,"&lt;"&amp;DATE(TahunSel,BulanSel,1))</f>
        <v/>
      </c>
      <c r="E14" s="17">
        <f>SUMIFS('TRANSAKSI'!$H$10:$H$1000,'TRANSAKSI'!$E$10:$E$1000,$B14,'TRANSAKSI'!$B$10:$B$1000,"&gt;="&amp;DATE(TahunSel,BulanSel,1),'TRANSAKSI'!$B$10:$B$1000,"&lt;="&amp;EOMONTH(DATE(TahunSel,BulanSel,1),0))</f>
        <v/>
      </c>
      <c r="F14" s="17">
        <f>SUMIFS('TRANSAKSI'!$I$10:$I$1000,'TRANSAKSI'!$E$10:$E$1000,$B14,'TRANSAKSI'!$B$10:$B$1000,"&gt;="&amp;DATE(TahunSel,BulanSel,1),'TRANSAKSI'!$B$10:$B$1000,"&lt;="&amp;EOMONTH(DATE(TahunSel,BulanSel,1),0))</f>
        <v/>
      </c>
      <c r="G14" s="17">
        <f>E14-F14</f>
        <v/>
      </c>
      <c r="H14" s="17">
        <f>D14+G14</f>
        <v/>
      </c>
    </row>
    <row r="15">
      <c r="B15" s="6" t="n"/>
      <c r="C15" s="6" t="inlineStr">
        <is>
          <t>TOTAL KAS</t>
        </is>
      </c>
      <c r="D15" s="23">
        <f>SUM(D8:D14)</f>
        <v/>
      </c>
      <c r="E15" s="23">
        <f>SUM(E8:E14)</f>
        <v/>
      </c>
      <c r="F15" s="23">
        <f>SUM(F8:F14)</f>
        <v/>
      </c>
      <c r="G15" s="23">
        <f>SUM(G8:G14)</f>
        <v/>
      </c>
      <c r="H15" s="23">
        <f>SUM(H8:H14)</f>
        <v/>
      </c>
    </row>
    <row r="17">
      <c r="B17" s="10" t="inlineStr">
        <is>
          <t>Penerimaan/pengeluaran dihitung dari Debet/Kredit rekening kas, bukan dari teks uraian transaksi.</t>
        </is>
      </c>
    </row>
  </sheetData>
  <mergeCells count="2">
    <mergeCell ref="B2:H2"/>
    <mergeCell ref="B17:H17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2:F8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1" t="inlineStr">
        <is>
          <t>NERACA SALDO</t>
        </is>
      </c>
    </row>
    <row r="3">
      <c r="B3" s="2">
        <f>"Kumulatif s/d: "&amp;TEXT(EOMONTH(DATE(TahunSel,BulanSel,1),0),"dd mmmm yyyy")</f>
        <v/>
      </c>
    </row>
    <row r="6">
      <c r="A6" s="12" t="inlineStr">
        <is>
          <t>KODE AKUN</t>
        </is>
      </c>
      <c r="B6" s="12" t="inlineStr">
        <is>
          <t>NAMA AKUN</t>
        </is>
      </c>
      <c r="C6" s="12" t="inlineStr">
        <is>
          <t>MUTASI DEBET</t>
        </is>
      </c>
      <c r="D6" s="12" t="inlineStr">
        <is>
          <t>MUTASI KREDIT</t>
        </is>
      </c>
      <c r="E6" s="12" t="inlineStr">
        <is>
          <t>SALDO DEBET</t>
        </is>
      </c>
      <c r="F6" s="12" t="inlineStr">
        <is>
          <t>SALDO KREDIT</t>
        </is>
      </c>
    </row>
    <row r="7">
      <c r="A7" s="20" t="inlineStr">
        <is>
          <t>1.1.01.01</t>
        </is>
      </c>
      <c r="B7" s="4" t="inlineStr">
        <is>
          <t>Kas Tunai</t>
        </is>
      </c>
      <c r="C7" s="9">
        <f>SUMIFS('TRANSAKSI'!$H$10:$H$1000,'TRANSAKSI'!$E$10:$E$1000,$A7,'TRANSAKSI'!$B$10:$B$1000,"&lt;="&amp;EOMONTH(DATE(TahunSel,BulanSel,1),0))</f>
        <v/>
      </c>
      <c r="D7" s="9">
        <f>SUMIFS('TRANSAKSI'!$I$10:$I$1000,'TRANSAKSI'!$E$10:$E$1000,$A7,'TRANSAKSI'!$B$10:$B$1000,"&lt;="&amp;EOMONTH(DATE(TahunSel,BulanSel,1),0))</f>
        <v/>
      </c>
      <c r="E7" s="9">
        <f>IF(C7&gt;D7,C7-D7,0)</f>
        <v/>
      </c>
      <c r="F7" s="9">
        <f>IF(D7&gt;C7,D7-C7,0)</f>
        <v/>
      </c>
    </row>
    <row r="8">
      <c r="A8" s="16" t="inlineStr">
        <is>
          <t>1.1.01.02</t>
        </is>
      </c>
      <c r="B8" s="15" t="inlineStr">
        <is>
          <t>Kas di Bank BSI</t>
        </is>
      </c>
      <c r="C8" s="17">
        <f>SUMIFS('TRANSAKSI'!$H$10:$H$1000,'TRANSAKSI'!$E$10:$E$1000,$A8,'TRANSAKSI'!$B$10:$B$1000,"&lt;="&amp;EOMONTH(DATE(TahunSel,BulanSel,1),0))</f>
        <v/>
      </c>
      <c r="D8" s="17">
        <f>SUMIFS('TRANSAKSI'!$I$10:$I$1000,'TRANSAKSI'!$E$10:$E$1000,$A8,'TRANSAKSI'!$B$10:$B$1000,"&lt;="&amp;EOMONTH(DATE(TahunSel,BulanSel,1),0))</f>
        <v/>
      </c>
      <c r="E8" s="17">
        <f>IF(C8&gt;D8,C8-D8,0)</f>
        <v/>
      </c>
      <c r="F8" s="17">
        <f>IF(D8&gt;C8,D8-C8,0)</f>
        <v/>
      </c>
    </row>
    <row r="9">
      <c r="A9" s="20" t="inlineStr">
        <is>
          <t>1.1.01.03</t>
        </is>
      </c>
      <c r="B9" s="4" t="inlineStr">
        <is>
          <t>Kas di Bank Mandiri</t>
        </is>
      </c>
      <c r="C9" s="9">
        <f>SUMIFS('TRANSAKSI'!$H$10:$H$1000,'TRANSAKSI'!$E$10:$E$1000,$A9,'TRANSAKSI'!$B$10:$B$1000,"&lt;="&amp;EOMONTH(DATE(TahunSel,BulanSel,1),0))</f>
        <v/>
      </c>
      <c r="D9" s="9">
        <f>SUMIFS('TRANSAKSI'!$I$10:$I$1000,'TRANSAKSI'!$E$10:$E$1000,$A9,'TRANSAKSI'!$B$10:$B$1000,"&lt;="&amp;EOMONTH(DATE(TahunSel,BulanSel,1),0))</f>
        <v/>
      </c>
      <c r="E9" s="9">
        <f>IF(C9&gt;D9,C9-D9,0)</f>
        <v/>
      </c>
      <c r="F9" s="9">
        <f>IF(D9&gt;C9,D9-C9,0)</f>
        <v/>
      </c>
    </row>
    <row r="10">
      <c r="A10" s="16" t="inlineStr">
        <is>
          <t>1.1.01.04</t>
        </is>
      </c>
      <c r="B10" s="15" t="inlineStr">
        <is>
          <t>Kas di Bank BRI</t>
        </is>
      </c>
      <c r="C10" s="17">
        <f>SUMIFS('TRANSAKSI'!$H$10:$H$1000,'TRANSAKSI'!$E$10:$E$1000,$A10,'TRANSAKSI'!$B$10:$B$1000,"&lt;="&amp;EOMONTH(DATE(TahunSel,BulanSel,1),0))</f>
        <v/>
      </c>
      <c r="D10" s="17">
        <f>SUMIFS('TRANSAKSI'!$I$10:$I$1000,'TRANSAKSI'!$E$10:$E$1000,$A10,'TRANSAKSI'!$B$10:$B$1000,"&lt;="&amp;EOMONTH(DATE(TahunSel,BulanSel,1),0))</f>
        <v/>
      </c>
      <c r="E10" s="17">
        <f>IF(C10&gt;D10,C10-D10,0)</f>
        <v/>
      </c>
      <c r="F10" s="17">
        <f>IF(D10&gt;C10,D10-C10,0)</f>
        <v/>
      </c>
    </row>
    <row r="11">
      <c r="A11" s="20" t="inlineStr">
        <is>
          <t>1.1.01.05</t>
        </is>
      </c>
      <c r="B11" s="4" t="inlineStr">
        <is>
          <t>Kas di Bank BPD</t>
        </is>
      </c>
      <c r="C11" s="9">
        <f>SUMIFS('TRANSAKSI'!$H$10:$H$1000,'TRANSAKSI'!$E$10:$E$1000,$A11,'TRANSAKSI'!$B$10:$B$1000,"&lt;="&amp;EOMONTH(DATE(TahunSel,BulanSel,1),0))</f>
        <v/>
      </c>
      <c r="D11" s="9">
        <f>SUMIFS('TRANSAKSI'!$I$10:$I$1000,'TRANSAKSI'!$E$10:$E$1000,$A11,'TRANSAKSI'!$B$10:$B$1000,"&lt;="&amp;EOMONTH(DATE(TahunSel,BulanSel,1),0))</f>
        <v/>
      </c>
      <c r="E11" s="9">
        <f>IF(C11&gt;D11,C11-D11,0)</f>
        <v/>
      </c>
      <c r="F11" s="9">
        <f>IF(D11&gt;C11,D11-C11,0)</f>
        <v/>
      </c>
    </row>
    <row r="12">
      <c r="A12" s="16" t="inlineStr">
        <is>
          <t>1.1.01.06</t>
        </is>
      </c>
      <c r="B12" s="15" t="inlineStr">
        <is>
          <t>Kas di Bank Jatim</t>
        </is>
      </c>
      <c r="C12" s="17">
        <f>SUMIFS('TRANSAKSI'!$H$10:$H$1000,'TRANSAKSI'!$E$10:$E$1000,$A12,'TRANSAKSI'!$B$10:$B$1000,"&lt;="&amp;EOMONTH(DATE(TahunSel,BulanSel,1),0))</f>
        <v/>
      </c>
      <c r="D12" s="17">
        <f>SUMIFS('TRANSAKSI'!$I$10:$I$1000,'TRANSAKSI'!$E$10:$E$1000,$A12,'TRANSAKSI'!$B$10:$B$1000,"&lt;="&amp;EOMONTH(DATE(TahunSel,BulanSel,1),0))</f>
        <v/>
      </c>
      <c r="E12" s="17">
        <f>IF(C12&gt;D12,C12-D12,0)</f>
        <v/>
      </c>
      <c r="F12" s="17">
        <f>IF(D12&gt;C12,D12-C12,0)</f>
        <v/>
      </c>
    </row>
    <row r="13">
      <c r="A13" s="20" t="inlineStr">
        <is>
          <t>1.1.01.98</t>
        </is>
      </c>
      <c r="B13" s="4" t="inlineStr">
        <is>
          <t>Kas Kecil (Petty Cash)</t>
        </is>
      </c>
      <c r="C13" s="9">
        <f>SUMIFS('TRANSAKSI'!$H$10:$H$1000,'TRANSAKSI'!$E$10:$E$1000,$A13,'TRANSAKSI'!$B$10:$B$1000,"&lt;="&amp;EOMONTH(DATE(TahunSel,BulanSel,1),0))</f>
        <v/>
      </c>
      <c r="D13" s="9">
        <f>SUMIFS('TRANSAKSI'!$I$10:$I$1000,'TRANSAKSI'!$E$10:$E$1000,$A13,'TRANSAKSI'!$B$10:$B$1000,"&lt;="&amp;EOMONTH(DATE(TahunSel,BulanSel,1),0))</f>
        <v/>
      </c>
      <c r="E13" s="9">
        <f>IF(C13&gt;D13,C13-D13,0)</f>
        <v/>
      </c>
      <c r="F13" s="9">
        <f>IF(D13&gt;C13,D13-C13,0)</f>
        <v/>
      </c>
    </row>
    <row r="14">
      <c r="A14" s="16" t="inlineStr">
        <is>
          <t>1.1.03.01</t>
        </is>
      </c>
      <c r="B14" s="15" t="inlineStr">
        <is>
          <t>Piutang Usaha</t>
        </is>
      </c>
      <c r="C14" s="17">
        <f>SUMIFS('TRANSAKSI'!$H$10:$H$1000,'TRANSAKSI'!$E$10:$E$1000,$A14,'TRANSAKSI'!$B$10:$B$1000,"&lt;="&amp;EOMONTH(DATE(TahunSel,BulanSel,1),0))</f>
        <v/>
      </c>
      <c r="D14" s="17">
        <f>SUMIFS('TRANSAKSI'!$I$10:$I$1000,'TRANSAKSI'!$E$10:$E$1000,$A14,'TRANSAKSI'!$B$10:$B$1000,"&lt;="&amp;EOMONTH(DATE(TahunSel,BulanSel,1),0))</f>
        <v/>
      </c>
      <c r="E14" s="17">
        <f>IF(C14&gt;D14,C14-D14,0)</f>
        <v/>
      </c>
      <c r="F14" s="17">
        <f>IF(D14&gt;C14,D14-C14,0)</f>
        <v/>
      </c>
    </row>
    <row r="15">
      <c r="A15" s="20" t="inlineStr">
        <is>
          <t>1.1.05.01</t>
        </is>
      </c>
      <c r="B15" s="4" t="inlineStr">
        <is>
          <t>Persediaan Barang Dagangan</t>
        </is>
      </c>
      <c r="C15" s="9">
        <f>SUMIFS('TRANSAKSI'!$H$10:$H$1000,'TRANSAKSI'!$E$10:$E$1000,$A15,'TRANSAKSI'!$B$10:$B$1000,"&lt;="&amp;EOMONTH(DATE(TahunSel,BulanSel,1),0))</f>
        <v/>
      </c>
      <c r="D15" s="9">
        <f>SUMIFS('TRANSAKSI'!$I$10:$I$1000,'TRANSAKSI'!$E$10:$E$1000,$A15,'TRANSAKSI'!$B$10:$B$1000,"&lt;="&amp;EOMONTH(DATE(TahunSel,BulanSel,1),0))</f>
        <v/>
      </c>
      <c r="E15" s="9">
        <f>IF(C15&gt;D15,C15-D15,0)</f>
        <v/>
      </c>
      <c r="F15" s="9">
        <f>IF(D15&gt;C15,D15-C15,0)</f>
        <v/>
      </c>
    </row>
    <row r="16">
      <c r="A16" s="16" t="inlineStr">
        <is>
          <t>1.1.05.02</t>
        </is>
      </c>
      <c r="B16" s="15" t="inlineStr">
        <is>
          <t>Persediaan Bahan Baku</t>
        </is>
      </c>
      <c r="C16" s="17">
        <f>SUMIFS('TRANSAKSI'!$H$10:$H$1000,'TRANSAKSI'!$E$10:$E$1000,$A16,'TRANSAKSI'!$B$10:$B$1000,"&lt;="&amp;EOMONTH(DATE(TahunSel,BulanSel,1),0))</f>
        <v/>
      </c>
      <c r="D16" s="17">
        <f>SUMIFS('TRANSAKSI'!$I$10:$I$1000,'TRANSAKSI'!$E$10:$E$1000,$A16,'TRANSAKSI'!$B$10:$B$1000,"&lt;="&amp;EOMONTH(DATE(TahunSel,BulanSel,1),0))</f>
        <v/>
      </c>
      <c r="E16" s="17">
        <f>IF(C16&gt;D16,C16-D16,0)</f>
        <v/>
      </c>
      <c r="F16" s="17">
        <f>IF(D16&gt;C16,D16-C16,0)</f>
        <v/>
      </c>
    </row>
    <row r="17">
      <c r="A17" s="20" t="inlineStr">
        <is>
          <t>1.1.07.01</t>
        </is>
      </c>
      <c r="B17" s="4" t="inlineStr">
        <is>
          <t>Sewa Dibayar Dimuka</t>
        </is>
      </c>
      <c r="C17" s="9">
        <f>SUMIFS('TRANSAKSI'!$H$10:$H$1000,'TRANSAKSI'!$E$10:$E$1000,$A17,'TRANSAKSI'!$B$10:$B$1000,"&lt;="&amp;EOMONTH(DATE(TahunSel,BulanSel,1),0))</f>
        <v/>
      </c>
      <c r="D17" s="9">
        <f>SUMIFS('TRANSAKSI'!$I$10:$I$1000,'TRANSAKSI'!$E$10:$E$1000,$A17,'TRANSAKSI'!$B$10:$B$1000,"&lt;="&amp;EOMONTH(DATE(TahunSel,BulanSel,1),0))</f>
        <v/>
      </c>
      <c r="E17" s="9">
        <f>IF(C17&gt;D17,C17-D17,0)</f>
        <v/>
      </c>
      <c r="F17" s="9">
        <f>IF(D17&gt;C17,D17-C17,0)</f>
        <v/>
      </c>
    </row>
    <row r="18">
      <c r="A18" s="16" t="inlineStr">
        <is>
          <t>1.3.01.01</t>
        </is>
      </c>
      <c r="B18" s="15" t="inlineStr">
        <is>
          <t>Tanah</t>
        </is>
      </c>
      <c r="C18" s="17">
        <f>SUMIFS('TRANSAKSI'!$H$10:$H$1000,'TRANSAKSI'!$E$10:$E$1000,$A18,'TRANSAKSI'!$B$10:$B$1000,"&lt;="&amp;EOMONTH(DATE(TahunSel,BulanSel,1),0))</f>
        <v/>
      </c>
      <c r="D18" s="17">
        <f>SUMIFS('TRANSAKSI'!$I$10:$I$1000,'TRANSAKSI'!$E$10:$E$1000,$A18,'TRANSAKSI'!$B$10:$B$1000,"&lt;="&amp;EOMONTH(DATE(TahunSel,BulanSel,1),0))</f>
        <v/>
      </c>
      <c r="E18" s="17">
        <f>IF(C18&gt;D18,C18-D18,0)</f>
        <v/>
      </c>
      <c r="F18" s="17">
        <f>IF(D18&gt;C18,D18-C18,0)</f>
        <v/>
      </c>
    </row>
    <row r="19">
      <c r="A19" s="20" t="inlineStr">
        <is>
          <t>1.3.02.01</t>
        </is>
      </c>
      <c r="B19" s="4" t="inlineStr">
        <is>
          <t>Kendaraan</t>
        </is>
      </c>
      <c r="C19" s="9">
        <f>SUMIFS('TRANSAKSI'!$H$10:$H$1000,'TRANSAKSI'!$E$10:$E$1000,$A19,'TRANSAKSI'!$B$10:$B$1000,"&lt;="&amp;EOMONTH(DATE(TahunSel,BulanSel,1),0))</f>
        <v/>
      </c>
      <c r="D19" s="9">
        <f>SUMIFS('TRANSAKSI'!$I$10:$I$1000,'TRANSAKSI'!$E$10:$E$1000,$A19,'TRANSAKSI'!$B$10:$B$1000,"&lt;="&amp;EOMONTH(DATE(TahunSel,BulanSel,1),0))</f>
        <v/>
      </c>
      <c r="E19" s="9">
        <f>IF(C19&gt;D19,C19-D19,0)</f>
        <v/>
      </c>
      <c r="F19" s="9">
        <f>IF(D19&gt;C19,D19-C19,0)</f>
        <v/>
      </c>
    </row>
    <row r="20">
      <c r="A20" s="16" t="inlineStr">
        <is>
          <t>1.3.03.01</t>
        </is>
      </c>
      <c r="B20" s="15" t="inlineStr">
        <is>
          <t>Peralatan dan Mesin</t>
        </is>
      </c>
      <c r="C20" s="17">
        <f>SUMIFS('TRANSAKSI'!$H$10:$H$1000,'TRANSAKSI'!$E$10:$E$1000,$A20,'TRANSAKSI'!$B$10:$B$1000,"&lt;="&amp;EOMONTH(DATE(TahunSel,BulanSel,1),0))</f>
        <v/>
      </c>
      <c r="D20" s="17">
        <f>SUMIFS('TRANSAKSI'!$I$10:$I$1000,'TRANSAKSI'!$E$10:$E$1000,$A20,'TRANSAKSI'!$B$10:$B$1000,"&lt;="&amp;EOMONTH(DATE(TahunSel,BulanSel,1),0))</f>
        <v/>
      </c>
      <c r="E20" s="17">
        <f>IF(C20&gt;D20,C20-D20,0)</f>
        <v/>
      </c>
      <c r="F20" s="17">
        <f>IF(D20&gt;C20,D20-C20,0)</f>
        <v/>
      </c>
    </row>
    <row r="21">
      <c r="A21" s="20" t="inlineStr">
        <is>
          <t>1.3.04.01</t>
        </is>
      </c>
      <c r="B21" s="4" t="inlineStr">
        <is>
          <t>Meubelair</t>
        </is>
      </c>
      <c r="C21" s="9">
        <f>SUMIFS('TRANSAKSI'!$H$10:$H$1000,'TRANSAKSI'!$E$10:$E$1000,$A21,'TRANSAKSI'!$B$10:$B$1000,"&lt;="&amp;EOMONTH(DATE(TahunSel,BulanSel,1),0))</f>
        <v/>
      </c>
      <c r="D21" s="9">
        <f>SUMIFS('TRANSAKSI'!$I$10:$I$1000,'TRANSAKSI'!$E$10:$E$1000,$A21,'TRANSAKSI'!$B$10:$B$1000,"&lt;="&amp;EOMONTH(DATE(TahunSel,BulanSel,1),0))</f>
        <v/>
      </c>
      <c r="E21" s="9">
        <f>IF(C21&gt;D21,C21-D21,0)</f>
        <v/>
      </c>
      <c r="F21" s="9">
        <f>IF(D21&gt;C21,D21-C21,0)</f>
        <v/>
      </c>
    </row>
    <row r="22">
      <c r="A22" s="16" t="inlineStr">
        <is>
          <t>1.3.05.01</t>
        </is>
      </c>
      <c r="B22" s="15" t="inlineStr">
        <is>
          <t>Gedung dan Bangunan</t>
        </is>
      </c>
      <c r="C22" s="17">
        <f>SUMIFS('TRANSAKSI'!$H$10:$H$1000,'TRANSAKSI'!$E$10:$E$1000,$A22,'TRANSAKSI'!$B$10:$B$1000,"&lt;="&amp;EOMONTH(DATE(TahunSel,BulanSel,1),0))</f>
        <v/>
      </c>
      <c r="D22" s="17">
        <f>SUMIFS('TRANSAKSI'!$I$10:$I$1000,'TRANSAKSI'!$E$10:$E$1000,$A22,'TRANSAKSI'!$B$10:$B$1000,"&lt;="&amp;EOMONTH(DATE(TahunSel,BulanSel,1),0))</f>
        <v/>
      </c>
      <c r="E22" s="17">
        <f>IF(C22&gt;D22,C22-D22,0)</f>
        <v/>
      </c>
      <c r="F22" s="17">
        <f>IF(D22&gt;C22,D22-C22,0)</f>
        <v/>
      </c>
    </row>
    <row r="23">
      <c r="A23" s="20" t="inlineStr">
        <is>
          <t>1.3.07.01</t>
        </is>
      </c>
      <c r="B23" s="4" t="inlineStr">
        <is>
          <t>Akum. Penyusutan Kendaraan</t>
        </is>
      </c>
      <c r="C23" s="9">
        <f>SUMIFS('TRANSAKSI'!$H$10:$H$1000,'TRANSAKSI'!$E$10:$E$1000,$A23,'TRANSAKSI'!$B$10:$B$1000,"&lt;="&amp;EOMONTH(DATE(TahunSel,BulanSel,1),0))</f>
        <v/>
      </c>
      <c r="D23" s="9">
        <f>SUMIFS('TRANSAKSI'!$I$10:$I$1000,'TRANSAKSI'!$E$10:$E$1000,$A23,'TRANSAKSI'!$B$10:$B$1000,"&lt;="&amp;EOMONTH(DATE(TahunSel,BulanSel,1),0))</f>
        <v/>
      </c>
      <c r="E23" s="9">
        <f>IF(C23&gt;D23,C23-D23,0)</f>
        <v/>
      </c>
      <c r="F23" s="9">
        <f>IF(D23&gt;C23,D23-C23,0)</f>
        <v/>
      </c>
    </row>
    <row r="24">
      <c r="A24" s="16" t="inlineStr">
        <is>
          <t>1.3.07.02</t>
        </is>
      </c>
      <c r="B24" s="15" t="inlineStr">
        <is>
          <t>Akum. Penyusutan Peralatan dan Mesin</t>
        </is>
      </c>
      <c r="C24" s="17">
        <f>SUMIFS('TRANSAKSI'!$H$10:$H$1000,'TRANSAKSI'!$E$10:$E$1000,$A24,'TRANSAKSI'!$B$10:$B$1000,"&lt;="&amp;EOMONTH(DATE(TahunSel,BulanSel,1),0))</f>
        <v/>
      </c>
      <c r="D24" s="17">
        <f>SUMIFS('TRANSAKSI'!$I$10:$I$1000,'TRANSAKSI'!$E$10:$E$1000,$A24,'TRANSAKSI'!$B$10:$B$1000,"&lt;="&amp;EOMONTH(DATE(TahunSel,BulanSel,1),0))</f>
        <v/>
      </c>
      <c r="E24" s="17">
        <f>IF(C24&gt;D24,C24-D24,0)</f>
        <v/>
      </c>
      <c r="F24" s="17">
        <f>IF(D24&gt;C24,D24-C24,0)</f>
        <v/>
      </c>
    </row>
    <row r="25">
      <c r="A25" s="20" t="inlineStr">
        <is>
          <t>1.3.07.03</t>
        </is>
      </c>
      <c r="B25" s="4" t="inlineStr">
        <is>
          <t>Akum. Penyusutan Meubelair</t>
        </is>
      </c>
      <c r="C25" s="9">
        <f>SUMIFS('TRANSAKSI'!$H$10:$H$1000,'TRANSAKSI'!$E$10:$E$1000,$A25,'TRANSAKSI'!$B$10:$B$1000,"&lt;="&amp;EOMONTH(DATE(TahunSel,BulanSel,1),0))</f>
        <v/>
      </c>
      <c r="D25" s="9">
        <f>SUMIFS('TRANSAKSI'!$I$10:$I$1000,'TRANSAKSI'!$E$10:$E$1000,$A25,'TRANSAKSI'!$B$10:$B$1000,"&lt;="&amp;EOMONTH(DATE(TahunSel,BulanSel,1),0))</f>
        <v/>
      </c>
      <c r="E25" s="9">
        <f>IF(C25&gt;D25,C25-D25,0)</f>
        <v/>
      </c>
      <c r="F25" s="9">
        <f>IF(D25&gt;C25,D25-C25,0)</f>
        <v/>
      </c>
    </row>
    <row r="26">
      <c r="A26" s="16" t="inlineStr">
        <is>
          <t>1.3.07.04</t>
        </is>
      </c>
      <c r="B26" s="15" t="inlineStr">
        <is>
          <t>Akum. Penyusutan Gedung dan Bangunan</t>
        </is>
      </c>
      <c r="C26" s="17">
        <f>SUMIFS('TRANSAKSI'!$H$10:$H$1000,'TRANSAKSI'!$E$10:$E$1000,$A26,'TRANSAKSI'!$B$10:$B$1000,"&lt;="&amp;EOMONTH(DATE(TahunSel,BulanSel,1),0))</f>
        <v/>
      </c>
      <c r="D26" s="17">
        <f>SUMIFS('TRANSAKSI'!$I$10:$I$1000,'TRANSAKSI'!$E$10:$E$1000,$A26,'TRANSAKSI'!$B$10:$B$1000,"&lt;="&amp;EOMONTH(DATE(TahunSel,BulanSel,1),0))</f>
        <v/>
      </c>
      <c r="E26" s="17">
        <f>IF(C26&gt;D26,C26-D26,0)</f>
        <v/>
      </c>
      <c r="F26" s="17">
        <f>IF(D26&gt;C26,D26-C26,0)</f>
        <v/>
      </c>
    </row>
    <row r="27">
      <c r="A27" s="20" t="inlineStr">
        <is>
          <t>1.3.99.01</t>
        </is>
      </c>
      <c r="B27" s="4" t="inlineStr">
        <is>
          <t>Aset Biologis - Sapi</t>
        </is>
      </c>
      <c r="C27" s="9">
        <f>SUMIFS('TRANSAKSI'!$H$10:$H$1000,'TRANSAKSI'!$E$10:$E$1000,$A27,'TRANSAKSI'!$B$10:$B$1000,"&lt;="&amp;EOMONTH(DATE(TahunSel,BulanSel,1),0))</f>
        <v/>
      </c>
      <c r="D27" s="9">
        <f>SUMIFS('TRANSAKSI'!$I$10:$I$1000,'TRANSAKSI'!$E$10:$E$1000,$A27,'TRANSAKSI'!$B$10:$B$1000,"&lt;="&amp;EOMONTH(DATE(TahunSel,BulanSel,1),0))</f>
        <v/>
      </c>
      <c r="E27" s="9">
        <f>IF(C27&gt;D27,C27-D27,0)</f>
        <v/>
      </c>
      <c r="F27" s="9">
        <f>IF(D27&gt;C27,D27-C27,0)</f>
        <v/>
      </c>
    </row>
    <row r="28">
      <c r="A28" s="16" t="inlineStr">
        <is>
          <t>1.3.99.04</t>
        </is>
      </c>
      <c r="B28" s="15" t="inlineStr">
        <is>
          <t>Aset Biologis - Ayam</t>
        </is>
      </c>
      <c r="C28" s="17">
        <f>SUMIFS('TRANSAKSI'!$H$10:$H$1000,'TRANSAKSI'!$E$10:$E$1000,$A28,'TRANSAKSI'!$B$10:$B$1000,"&lt;="&amp;EOMONTH(DATE(TahunSel,BulanSel,1),0))</f>
        <v/>
      </c>
      <c r="D28" s="17">
        <f>SUMIFS('TRANSAKSI'!$I$10:$I$1000,'TRANSAKSI'!$E$10:$E$1000,$A28,'TRANSAKSI'!$B$10:$B$1000,"&lt;="&amp;EOMONTH(DATE(TahunSel,BulanSel,1),0))</f>
        <v/>
      </c>
      <c r="E28" s="17">
        <f>IF(C28&gt;D28,C28-D28,0)</f>
        <v/>
      </c>
      <c r="F28" s="17">
        <f>IF(D28&gt;C28,D28-C28,0)</f>
        <v/>
      </c>
    </row>
    <row r="29">
      <c r="A29" s="20" t="inlineStr">
        <is>
          <t>1.3.99.05</t>
        </is>
      </c>
      <c r="B29" s="4" t="inlineStr">
        <is>
          <t>Aset Biologis - Padi</t>
        </is>
      </c>
      <c r="C29" s="9">
        <f>SUMIFS('TRANSAKSI'!$H$10:$H$1000,'TRANSAKSI'!$E$10:$E$1000,$A29,'TRANSAKSI'!$B$10:$B$1000,"&lt;="&amp;EOMONTH(DATE(TahunSel,BulanSel,1),0))</f>
        <v/>
      </c>
      <c r="D29" s="9">
        <f>SUMIFS('TRANSAKSI'!$I$10:$I$1000,'TRANSAKSI'!$E$10:$E$1000,$A29,'TRANSAKSI'!$B$10:$B$1000,"&lt;="&amp;EOMONTH(DATE(TahunSel,BulanSel,1),0))</f>
        <v/>
      </c>
      <c r="E29" s="9">
        <f>IF(C29&gt;D29,C29-D29,0)</f>
        <v/>
      </c>
      <c r="F29" s="9">
        <f>IF(D29&gt;C29,D29-C29,0)</f>
        <v/>
      </c>
    </row>
    <row r="30">
      <c r="A30" s="16" t="inlineStr">
        <is>
          <t>1.3.99.06</t>
        </is>
      </c>
      <c r="B30" s="15" t="inlineStr">
        <is>
          <t>Aset Biologis - Jagung</t>
        </is>
      </c>
      <c r="C30" s="17">
        <f>SUMIFS('TRANSAKSI'!$H$10:$H$1000,'TRANSAKSI'!$E$10:$E$1000,$A30,'TRANSAKSI'!$B$10:$B$1000,"&lt;="&amp;EOMONTH(DATE(TahunSel,BulanSel,1),0))</f>
        <v/>
      </c>
      <c r="D30" s="17">
        <f>SUMIFS('TRANSAKSI'!$I$10:$I$1000,'TRANSAKSI'!$E$10:$E$1000,$A30,'TRANSAKSI'!$B$10:$B$1000,"&lt;="&amp;EOMONTH(DATE(TahunSel,BulanSel,1),0))</f>
        <v/>
      </c>
      <c r="E30" s="17">
        <f>IF(C30&gt;D30,C30-D30,0)</f>
        <v/>
      </c>
      <c r="F30" s="17">
        <f>IF(D30&gt;C30,D30-C30,0)</f>
        <v/>
      </c>
    </row>
    <row r="31">
      <c r="A31" s="20" t="inlineStr">
        <is>
          <t>1.4.01.01</t>
        </is>
      </c>
      <c r="B31" s="4" t="inlineStr">
        <is>
          <t>Software</t>
        </is>
      </c>
      <c r="C31" s="9">
        <f>SUMIFS('TRANSAKSI'!$H$10:$H$1000,'TRANSAKSI'!$E$10:$E$1000,$A31,'TRANSAKSI'!$B$10:$B$1000,"&lt;="&amp;EOMONTH(DATE(TahunSel,BulanSel,1),0))</f>
        <v/>
      </c>
      <c r="D31" s="9">
        <f>SUMIFS('TRANSAKSI'!$I$10:$I$1000,'TRANSAKSI'!$E$10:$E$1000,$A31,'TRANSAKSI'!$B$10:$B$1000,"&lt;="&amp;EOMONTH(DATE(TahunSel,BulanSel,1),0))</f>
        <v/>
      </c>
      <c r="E31" s="9">
        <f>IF(C31&gt;D31,C31-D31,0)</f>
        <v/>
      </c>
      <c r="F31" s="9">
        <f>IF(D31&gt;C31,D31-C31,0)</f>
        <v/>
      </c>
    </row>
    <row r="32">
      <c r="A32" s="16" t="inlineStr">
        <is>
          <t>2.1.01.01</t>
        </is>
      </c>
      <c r="B32" s="15" t="inlineStr">
        <is>
          <t>Utang Usaha</t>
        </is>
      </c>
      <c r="C32" s="17">
        <f>SUMIFS('TRANSAKSI'!$H$10:$H$1000,'TRANSAKSI'!$E$10:$E$1000,$A32,'TRANSAKSI'!$B$10:$B$1000,"&lt;="&amp;EOMONTH(DATE(TahunSel,BulanSel,1),0))</f>
        <v/>
      </c>
      <c r="D32" s="17">
        <f>SUMIFS('TRANSAKSI'!$I$10:$I$1000,'TRANSAKSI'!$E$10:$E$1000,$A32,'TRANSAKSI'!$B$10:$B$1000,"&lt;="&amp;EOMONTH(DATE(TahunSel,BulanSel,1),0))</f>
        <v/>
      </c>
      <c r="E32" s="17">
        <f>IF(C32&gt;D32,C32-D32,0)</f>
        <v/>
      </c>
      <c r="F32" s="17">
        <f>IF(D32&gt;C32,D32-C32,0)</f>
        <v/>
      </c>
    </row>
    <row r="33">
      <c r="A33" s="20" t="inlineStr">
        <is>
          <t>2.1.03.01</t>
        </is>
      </c>
      <c r="B33" s="4" t="inlineStr">
        <is>
          <t>Utang Gaji dan Upah</t>
        </is>
      </c>
      <c r="C33" s="9">
        <f>SUMIFS('TRANSAKSI'!$H$10:$H$1000,'TRANSAKSI'!$E$10:$E$1000,$A33,'TRANSAKSI'!$B$10:$B$1000,"&lt;="&amp;EOMONTH(DATE(TahunSel,BulanSel,1),0))</f>
        <v/>
      </c>
      <c r="D33" s="9">
        <f>SUMIFS('TRANSAKSI'!$I$10:$I$1000,'TRANSAKSI'!$E$10:$E$1000,$A33,'TRANSAKSI'!$B$10:$B$1000,"&lt;="&amp;EOMONTH(DATE(TahunSel,BulanSel,1),0))</f>
        <v/>
      </c>
      <c r="E33" s="9">
        <f>IF(C33&gt;D33,C33-D33,0)</f>
        <v/>
      </c>
      <c r="F33" s="9">
        <f>IF(D33&gt;C33,D33-C33,0)</f>
        <v/>
      </c>
    </row>
    <row r="34">
      <c r="A34" s="16" t="inlineStr">
        <is>
          <t>2.1.04.01</t>
        </is>
      </c>
      <c r="B34" s="15" t="inlineStr">
        <is>
          <t>Utang Listrik</t>
        </is>
      </c>
      <c r="C34" s="17">
        <f>SUMIFS('TRANSAKSI'!$H$10:$H$1000,'TRANSAKSI'!$E$10:$E$1000,$A34,'TRANSAKSI'!$B$10:$B$1000,"&lt;="&amp;EOMONTH(DATE(TahunSel,BulanSel,1),0))</f>
        <v/>
      </c>
      <c r="D34" s="17">
        <f>SUMIFS('TRANSAKSI'!$I$10:$I$1000,'TRANSAKSI'!$E$10:$E$1000,$A34,'TRANSAKSI'!$B$10:$B$1000,"&lt;="&amp;EOMONTH(DATE(TahunSel,BulanSel,1),0))</f>
        <v/>
      </c>
      <c r="E34" s="17">
        <f>IF(C34&gt;D34,C34-D34,0)</f>
        <v/>
      </c>
      <c r="F34" s="17">
        <f>IF(D34&gt;C34,D34-C34,0)</f>
        <v/>
      </c>
    </row>
    <row r="35">
      <c r="A35" s="20" t="inlineStr">
        <is>
          <t>2.1.05.01</t>
        </is>
      </c>
      <c r="B35" s="4" t="inlineStr">
        <is>
          <t>Utang Pihak Ketiga Jangka Pendek</t>
        </is>
      </c>
      <c r="C35" s="9">
        <f>SUMIFS('TRANSAKSI'!$H$10:$H$1000,'TRANSAKSI'!$E$10:$E$1000,$A35,'TRANSAKSI'!$B$10:$B$1000,"&lt;="&amp;EOMONTH(DATE(TahunSel,BulanSel,1),0))</f>
        <v/>
      </c>
      <c r="D35" s="9">
        <f>SUMIFS('TRANSAKSI'!$I$10:$I$1000,'TRANSAKSI'!$E$10:$E$1000,$A35,'TRANSAKSI'!$B$10:$B$1000,"&lt;="&amp;EOMONTH(DATE(TahunSel,BulanSel,1),0))</f>
        <v/>
      </c>
      <c r="E35" s="9">
        <f>IF(C35&gt;D35,C35-D35,0)</f>
        <v/>
      </c>
      <c r="F35" s="9">
        <f>IF(D35&gt;C35,D35-C35,0)</f>
        <v/>
      </c>
    </row>
    <row r="36">
      <c r="A36" s="16" t="inlineStr">
        <is>
          <t>2.2.01.01</t>
        </is>
      </c>
      <c r="B36" s="15" t="inlineStr">
        <is>
          <t>Utang Bank</t>
        </is>
      </c>
      <c r="C36" s="17">
        <f>SUMIFS('TRANSAKSI'!$H$10:$H$1000,'TRANSAKSI'!$E$10:$E$1000,$A36,'TRANSAKSI'!$B$10:$B$1000,"&lt;="&amp;EOMONTH(DATE(TahunSel,BulanSel,1),0))</f>
        <v/>
      </c>
      <c r="D36" s="17">
        <f>SUMIFS('TRANSAKSI'!$I$10:$I$1000,'TRANSAKSI'!$E$10:$E$1000,$A36,'TRANSAKSI'!$B$10:$B$1000,"&lt;="&amp;EOMONTH(DATE(TahunSel,BulanSel,1),0))</f>
        <v/>
      </c>
      <c r="E36" s="17">
        <f>IF(C36&gt;D36,C36-D36,0)</f>
        <v/>
      </c>
      <c r="F36" s="17">
        <f>IF(D36&gt;C36,D36-C36,0)</f>
        <v/>
      </c>
    </row>
    <row r="37">
      <c r="A37" s="20" t="inlineStr">
        <is>
          <t>3.1.01.01</t>
        </is>
      </c>
      <c r="B37" s="4" t="inlineStr">
        <is>
          <t>Penyertaan Modal Desa</t>
        </is>
      </c>
      <c r="C37" s="9">
        <f>SUMIFS('TRANSAKSI'!$H$10:$H$1000,'TRANSAKSI'!$E$10:$E$1000,$A37,'TRANSAKSI'!$B$10:$B$1000,"&lt;="&amp;EOMONTH(DATE(TahunSel,BulanSel,1),0))</f>
        <v/>
      </c>
      <c r="D37" s="9">
        <f>SUMIFS('TRANSAKSI'!$I$10:$I$1000,'TRANSAKSI'!$E$10:$E$1000,$A37,'TRANSAKSI'!$B$10:$B$1000,"&lt;="&amp;EOMONTH(DATE(TahunSel,BulanSel,1),0))</f>
        <v/>
      </c>
      <c r="E37" s="9">
        <f>IF(C37&gt;D37,C37-D37,0)</f>
        <v/>
      </c>
      <c r="F37" s="9">
        <f>IF(D37&gt;C37,D37-C37,0)</f>
        <v/>
      </c>
    </row>
    <row r="38">
      <c r="A38" s="16" t="inlineStr">
        <is>
          <t>3.1.02.01</t>
        </is>
      </c>
      <c r="B38" s="15" t="inlineStr">
        <is>
          <t>Penyertaan Modal Masyarakat A</t>
        </is>
      </c>
      <c r="C38" s="17">
        <f>SUMIFS('TRANSAKSI'!$H$10:$H$1000,'TRANSAKSI'!$E$10:$E$1000,$A38,'TRANSAKSI'!$B$10:$B$1000,"&lt;="&amp;EOMONTH(DATE(TahunSel,BulanSel,1),0))</f>
        <v/>
      </c>
      <c r="D38" s="17">
        <f>SUMIFS('TRANSAKSI'!$I$10:$I$1000,'TRANSAKSI'!$E$10:$E$1000,$A38,'TRANSAKSI'!$B$10:$B$1000,"&lt;="&amp;EOMONTH(DATE(TahunSel,BulanSel,1),0))</f>
        <v/>
      </c>
      <c r="E38" s="17">
        <f>IF(C38&gt;D38,C38-D38,0)</f>
        <v/>
      </c>
      <c r="F38" s="17">
        <f>IF(D38&gt;C38,D38-C38,0)</f>
        <v/>
      </c>
    </row>
    <row r="39">
      <c r="A39" s="20" t="inlineStr">
        <is>
          <t>3.1.02.02</t>
        </is>
      </c>
      <c r="B39" s="4" t="inlineStr">
        <is>
          <t>Penyertaan Modal Masyarakat B</t>
        </is>
      </c>
      <c r="C39" s="9">
        <f>SUMIFS('TRANSAKSI'!$H$10:$H$1000,'TRANSAKSI'!$E$10:$E$1000,$A39,'TRANSAKSI'!$B$10:$B$1000,"&lt;="&amp;EOMONTH(DATE(TahunSel,BulanSel,1),0))</f>
        <v/>
      </c>
      <c r="D39" s="9">
        <f>SUMIFS('TRANSAKSI'!$I$10:$I$1000,'TRANSAKSI'!$E$10:$E$1000,$A39,'TRANSAKSI'!$B$10:$B$1000,"&lt;="&amp;EOMONTH(DATE(TahunSel,BulanSel,1),0))</f>
        <v/>
      </c>
      <c r="E39" s="9">
        <f>IF(C39&gt;D39,C39-D39,0)</f>
        <v/>
      </c>
      <c r="F39" s="9">
        <f>IF(D39&gt;C39,D39-C39,0)</f>
        <v/>
      </c>
    </row>
    <row r="40">
      <c r="A40" s="16" t="inlineStr">
        <is>
          <t>3.3.01.04</t>
        </is>
      </c>
      <c r="B40" s="15" t="inlineStr">
        <is>
          <t>Saldo Awal</t>
        </is>
      </c>
      <c r="C40" s="17">
        <f>SUMIFS('TRANSAKSI'!$H$10:$H$1000,'TRANSAKSI'!$E$10:$E$1000,$A40,'TRANSAKSI'!$B$10:$B$1000,"&lt;="&amp;EOMONTH(DATE(TahunSel,BulanSel,1),0))</f>
        <v/>
      </c>
      <c r="D40" s="17">
        <f>SUMIFS('TRANSAKSI'!$I$10:$I$1000,'TRANSAKSI'!$E$10:$E$1000,$A40,'TRANSAKSI'!$B$10:$B$1000,"&lt;="&amp;EOMONTH(DATE(TahunSel,BulanSel,1),0))</f>
        <v/>
      </c>
      <c r="E40" s="17">
        <f>IF(C40&gt;D40,C40-D40,0)</f>
        <v/>
      </c>
      <c r="F40" s="17">
        <f>IF(D40&gt;C40,D40-C40,0)</f>
        <v/>
      </c>
    </row>
    <row r="41">
      <c r="A41" s="20" t="inlineStr">
        <is>
          <t>3.4.01.01</t>
        </is>
      </c>
      <c r="B41" s="4" t="inlineStr">
        <is>
          <t>Modal Donasi dan Sumbangan</t>
        </is>
      </c>
      <c r="C41" s="9">
        <f>SUMIFS('TRANSAKSI'!$H$10:$H$1000,'TRANSAKSI'!$E$10:$E$1000,$A41,'TRANSAKSI'!$B$10:$B$1000,"&lt;="&amp;EOMONTH(DATE(TahunSel,BulanSel,1),0))</f>
        <v/>
      </c>
      <c r="D41" s="9">
        <f>SUMIFS('TRANSAKSI'!$I$10:$I$1000,'TRANSAKSI'!$E$10:$E$1000,$A41,'TRANSAKSI'!$B$10:$B$1000,"&lt;="&amp;EOMONTH(DATE(TahunSel,BulanSel,1),0))</f>
        <v/>
      </c>
      <c r="E41" s="9">
        <f>IF(C41&gt;D41,C41-D41,0)</f>
        <v/>
      </c>
      <c r="F41" s="9">
        <f>IF(D41&gt;C41,D41-C41,0)</f>
        <v/>
      </c>
    </row>
    <row r="42">
      <c r="A42" s="16" t="inlineStr">
        <is>
          <t>4.1.02.01</t>
        </is>
      </c>
      <c r="B42" s="15" t="inlineStr">
        <is>
          <t>Pendapatan Pengelolaan Air Bersih</t>
        </is>
      </c>
      <c r="C42" s="17">
        <f>SUMIFS('TRANSAKSI'!$H$10:$H$1000,'TRANSAKSI'!$E$10:$E$1000,$A42,'TRANSAKSI'!$B$10:$B$1000,"&lt;="&amp;EOMONTH(DATE(TahunSel,BulanSel,1),0))</f>
        <v/>
      </c>
      <c r="D42" s="17">
        <f>SUMIFS('TRANSAKSI'!$I$10:$I$1000,'TRANSAKSI'!$E$10:$E$1000,$A42,'TRANSAKSI'!$B$10:$B$1000,"&lt;="&amp;EOMONTH(DATE(TahunSel,BulanSel,1),0))</f>
        <v/>
      </c>
      <c r="E42" s="17">
        <f>IF(C42&gt;D42,C42-D42,0)</f>
        <v/>
      </c>
      <c r="F42" s="17">
        <f>IF(D42&gt;C42,D42-C42,0)</f>
        <v/>
      </c>
    </row>
    <row r="43">
      <c r="A43" s="20" t="inlineStr">
        <is>
          <t>4.1.03.01</t>
        </is>
      </c>
      <c r="B43" s="4" t="inlineStr">
        <is>
          <t>Pendapatan Pengelolaan Sampah</t>
        </is>
      </c>
      <c r="C43" s="9">
        <f>SUMIFS('TRANSAKSI'!$H$10:$H$1000,'TRANSAKSI'!$E$10:$E$1000,$A43,'TRANSAKSI'!$B$10:$B$1000,"&lt;="&amp;EOMONTH(DATE(TahunSel,BulanSel,1),0))</f>
        <v/>
      </c>
      <c r="D43" s="9">
        <f>SUMIFS('TRANSAKSI'!$I$10:$I$1000,'TRANSAKSI'!$E$10:$E$1000,$A43,'TRANSAKSI'!$B$10:$B$1000,"&lt;="&amp;EOMONTH(DATE(TahunSel,BulanSel,1),0))</f>
        <v/>
      </c>
      <c r="E43" s="9">
        <f>IF(C43&gt;D43,C43-D43,0)</f>
        <v/>
      </c>
      <c r="F43" s="9">
        <f>IF(D43&gt;C43,D43-C43,0)</f>
        <v/>
      </c>
    </row>
    <row r="44">
      <c r="A44" s="16" t="inlineStr">
        <is>
          <t>4.1.04.02</t>
        </is>
      </c>
      <c r="B44" s="15" t="inlineStr">
        <is>
          <t>Pendapatan Sewa Toko dan Kios</t>
        </is>
      </c>
      <c r="C44" s="17">
        <f>SUMIFS('TRANSAKSI'!$H$10:$H$1000,'TRANSAKSI'!$E$10:$E$1000,$A44,'TRANSAKSI'!$B$10:$B$1000,"&lt;="&amp;EOMONTH(DATE(TahunSel,BulanSel,1),0))</f>
        <v/>
      </c>
      <c r="D44" s="17">
        <f>SUMIFS('TRANSAKSI'!$I$10:$I$1000,'TRANSAKSI'!$E$10:$E$1000,$A44,'TRANSAKSI'!$B$10:$B$1000,"&lt;="&amp;EOMONTH(DATE(TahunSel,BulanSel,1),0))</f>
        <v/>
      </c>
      <c r="E44" s="17">
        <f>IF(C44&gt;D44,C44-D44,0)</f>
        <v/>
      </c>
      <c r="F44" s="17">
        <f>IF(D44&gt;C44,D44-C44,0)</f>
        <v/>
      </c>
    </row>
    <row r="45">
      <c r="A45" s="20" t="inlineStr">
        <is>
          <t>4.1.04.03</t>
        </is>
      </c>
      <c r="B45" s="4" t="inlineStr">
        <is>
          <t>Pendapatan Sewa Gedung</t>
        </is>
      </c>
      <c r="C45" s="9">
        <f>SUMIFS('TRANSAKSI'!$H$10:$H$1000,'TRANSAKSI'!$E$10:$E$1000,$A45,'TRANSAKSI'!$B$10:$B$1000,"&lt;="&amp;EOMONTH(DATE(TahunSel,BulanSel,1),0))</f>
        <v/>
      </c>
      <c r="D45" s="9">
        <f>SUMIFS('TRANSAKSI'!$I$10:$I$1000,'TRANSAKSI'!$E$10:$E$1000,$A45,'TRANSAKSI'!$B$10:$B$1000,"&lt;="&amp;EOMONTH(DATE(TahunSel,BulanSel,1),0))</f>
        <v/>
      </c>
      <c r="E45" s="9">
        <f>IF(C45&gt;D45,C45-D45,0)</f>
        <v/>
      </c>
      <c r="F45" s="9">
        <f>IF(D45&gt;C45,D45-C45,0)</f>
        <v/>
      </c>
    </row>
    <row r="46">
      <c r="A46" s="16" t="inlineStr">
        <is>
          <t>4.1.04.06</t>
        </is>
      </c>
      <c r="B46" s="15" t="inlineStr">
        <is>
          <t>Pendapatan Sewa Jaring</t>
        </is>
      </c>
      <c r="C46" s="17">
        <f>SUMIFS('TRANSAKSI'!$H$10:$H$1000,'TRANSAKSI'!$E$10:$E$1000,$A46,'TRANSAKSI'!$B$10:$B$1000,"&lt;="&amp;EOMONTH(DATE(TahunSel,BulanSel,1),0))</f>
        <v/>
      </c>
      <c r="D46" s="17">
        <f>SUMIFS('TRANSAKSI'!$I$10:$I$1000,'TRANSAKSI'!$E$10:$E$1000,$A46,'TRANSAKSI'!$B$10:$B$1000,"&lt;="&amp;EOMONTH(DATE(TahunSel,BulanSel,1),0))</f>
        <v/>
      </c>
      <c r="E46" s="17">
        <f>IF(C46&gt;D46,C46-D46,0)</f>
        <v/>
      </c>
      <c r="F46" s="17">
        <f>IF(D46&gt;C46,D46-C46,0)</f>
        <v/>
      </c>
    </row>
    <row r="47">
      <c r="A47" s="20" t="inlineStr">
        <is>
          <t>4.1.05.01</t>
        </is>
      </c>
      <c r="B47" s="4" t="inlineStr">
        <is>
          <t>Pendapatan Jasa Bayar Listrik</t>
        </is>
      </c>
      <c r="C47" s="9">
        <f>SUMIFS('TRANSAKSI'!$H$10:$H$1000,'TRANSAKSI'!$E$10:$E$1000,$A47,'TRANSAKSI'!$B$10:$B$1000,"&lt;="&amp;EOMONTH(DATE(TahunSel,BulanSel,1),0))</f>
        <v/>
      </c>
      <c r="D47" s="9">
        <f>SUMIFS('TRANSAKSI'!$I$10:$I$1000,'TRANSAKSI'!$E$10:$E$1000,$A47,'TRANSAKSI'!$B$10:$B$1000,"&lt;="&amp;EOMONTH(DATE(TahunSel,BulanSel,1),0))</f>
        <v/>
      </c>
      <c r="E47" s="9">
        <f>IF(C47&gt;D47,C47-D47,0)</f>
        <v/>
      </c>
      <c r="F47" s="9">
        <f>IF(D47&gt;C47,D47-C47,0)</f>
        <v/>
      </c>
    </row>
    <row r="48">
      <c r="A48" s="16" t="inlineStr">
        <is>
          <t>4.1.05.03</t>
        </is>
      </c>
      <c r="B48" s="15" t="inlineStr">
        <is>
          <t>Pendapatan Jasa Bayar BPJS</t>
        </is>
      </c>
      <c r="C48" s="17">
        <f>SUMIFS('TRANSAKSI'!$H$10:$H$1000,'TRANSAKSI'!$E$10:$E$1000,$A48,'TRANSAKSI'!$B$10:$B$1000,"&lt;="&amp;EOMONTH(DATE(TahunSel,BulanSel,1),0))</f>
        <v/>
      </c>
      <c r="D48" s="17">
        <f>SUMIFS('TRANSAKSI'!$I$10:$I$1000,'TRANSAKSI'!$E$10:$E$1000,$A48,'TRANSAKSI'!$B$10:$B$1000,"&lt;="&amp;EOMONTH(DATE(TahunSel,BulanSel,1),0))</f>
        <v/>
      </c>
      <c r="E48" s="17">
        <f>IF(C48&gt;D48,C48-D48,0)</f>
        <v/>
      </c>
      <c r="F48" s="17">
        <f>IF(D48&gt;C48,D48-C48,0)</f>
        <v/>
      </c>
    </row>
    <row r="49">
      <c r="A49" s="20" t="inlineStr">
        <is>
          <t>4.1.08.01</t>
        </is>
      </c>
      <c r="B49" s="4" t="inlineStr">
        <is>
          <t>Pendapatan Simpan Pinjam</t>
        </is>
      </c>
      <c r="C49" s="9">
        <f>SUMIFS('TRANSAKSI'!$H$10:$H$1000,'TRANSAKSI'!$E$10:$E$1000,$A49,'TRANSAKSI'!$B$10:$B$1000,"&lt;="&amp;EOMONTH(DATE(TahunSel,BulanSel,1),0))</f>
        <v/>
      </c>
      <c r="D49" s="9">
        <f>SUMIFS('TRANSAKSI'!$I$10:$I$1000,'TRANSAKSI'!$E$10:$E$1000,$A49,'TRANSAKSI'!$B$10:$B$1000,"&lt;="&amp;EOMONTH(DATE(TahunSel,BulanSel,1),0))</f>
        <v/>
      </c>
      <c r="E49" s="9">
        <f>IF(C49&gt;D49,C49-D49,0)</f>
        <v/>
      </c>
      <c r="F49" s="9">
        <f>IF(D49&gt;C49,D49-C49,0)</f>
        <v/>
      </c>
    </row>
    <row r="50">
      <c r="A50" s="16" t="inlineStr">
        <is>
          <t>4.1.11.01</t>
        </is>
      </c>
      <c r="B50" s="15" t="inlineStr">
        <is>
          <t>Pendapatan Komisi</t>
        </is>
      </c>
      <c r="C50" s="17">
        <f>SUMIFS('TRANSAKSI'!$H$10:$H$1000,'TRANSAKSI'!$E$10:$E$1000,$A50,'TRANSAKSI'!$B$10:$B$1000,"&lt;="&amp;EOMONTH(DATE(TahunSel,BulanSel,1),0))</f>
        <v/>
      </c>
      <c r="D50" s="17">
        <f>SUMIFS('TRANSAKSI'!$I$10:$I$1000,'TRANSAKSI'!$E$10:$E$1000,$A50,'TRANSAKSI'!$B$10:$B$1000,"&lt;="&amp;EOMONTH(DATE(TahunSel,BulanSel,1),0))</f>
        <v/>
      </c>
      <c r="E50" s="17">
        <f>IF(C50&gt;D50,C50-D50,0)</f>
        <v/>
      </c>
      <c r="F50" s="17">
        <f>IF(D50&gt;C50,D50-C50,0)</f>
        <v/>
      </c>
    </row>
    <row r="51">
      <c r="A51" s="20" t="inlineStr">
        <is>
          <t>4.1.12.01</t>
        </is>
      </c>
      <c r="B51" s="4" t="inlineStr">
        <is>
          <t>Pendapatan Penjualan Jagung</t>
        </is>
      </c>
      <c r="C51" s="9">
        <f>SUMIFS('TRANSAKSI'!$H$10:$H$1000,'TRANSAKSI'!$E$10:$E$1000,$A51,'TRANSAKSI'!$B$10:$B$1000,"&lt;="&amp;EOMONTH(DATE(TahunSel,BulanSel,1),0))</f>
        <v/>
      </c>
      <c r="D51" s="9">
        <f>SUMIFS('TRANSAKSI'!$I$10:$I$1000,'TRANSAKSI'!$E$10:$E$1000,$A51,'TRANSAKSI'!$B$10:$B$1000,"&lt;="&amp;EOMONTH(DATE(TahunSel,BulanSel,1),0))</f>
        <v/>
      </c>
      <c r="E51" s="9">
        <f>IF(C51&gt;D51,C51-D51,0)</f>
        <v/>
      </c>
      <c r="F51" s="9">
        <f>IF(D51&gt;C51,D51-C51,0)</f>
        <v/>
      </c>
    </row>
    <row r="52">
      <c r="A52" s="16" t="inlineStr">
        <is>
          <t>4.1.12.02</t>
        </is>
      </c>
      <c r="B52" s="15" t="inlineStr">
        <is>
          <t>Pendapatan Penjualan Padi</t>
        </is>
      </c>
      <c r="C52" s="17">
        <f>SUMIFS('TRANSAKSI'!$H$10:$H$1000,'TRANSAKSI'!$E$10:$E$1000,$A52,'TRANSAKSI'!$B$10:$B$1000,"&lt;="&amp;EOMONTH(DATE(TahunSel,BulanSel,1),0))</f>
        <v/>
      </c>
      <c r="D52" s="17">
        <f>SUMIFS('TRANSAKSI'!$I$10:$I$1000,'TRANSAKSI'!$E$10:$E$1000,$A52,'TRANSAKSI'!$B$10:$B$1000,"&lt;="&amp;EOMONTH(DATE(TahunSel,BulanSel,1),0))</f>
        <v/>
      </c>
      <c r="E52" s="17">
        <f>IF(C52&gt;D52,C52-D52,0)</f>
        <v/>
      </c>
      <c r="F52" s="17">
        <f>IF(D52&gt;C52,D52-C52,0)</f>
        <v/>
      </c>
    </row>
    <row r="53">
      <c r="A53" s="20" t="inlineStr">
        <is>
          <t>4.1.13.05</t>
        </is>
      </c>
      <c r="B53" s="4" t="inlineStr">
        <is>
          <t>Pendapatan Penjualan Telur Ayam</t>
        </is>
      </c>
      <c r="C53" s="9">
        <f>SUMIFS('TRANSAKSI'!$H$10:$H$1000,'TRANSAKSI'!$E$10:$E$1000,$A53,'TRANSAKSI'!$B$10:$B$1000,"&lt;="&amp;EOMONTH(DATE(TahunSel,BulanSel,1),0))</f>
        <v/>
      </c>
      <c r="D53" s="9">
        <f>SUMIFS('TRANSAKSI'!$I$10:$I$1000,'TRANSAKSI'!$E$10:$E$1000,$A53,'TRANSAKSI'!$B$10:$B$1000,"&lt;="&amp;EOMONTH(DATE(TahunSel,BulanSel,1),0))</f>
        <v/>
      </c>
      <c r="E53" s="9">
        <f>IF(C53&gt;D53,C53-D53,0)</f>
        <v/>
      </c>
      <c r="F53" s="9">
        <f>IF(D53&gt;C53,D53-C53,0)</f>
        <v/>
      </c>
    </row>
    <row r="54">
      <c r="A54" s="16" t="inlineStr">
        <is>
          <t>4.1.14.01</t>
        </is>
      </c>
      <c r="B54" s="15" t="inlineStr">
        <is>
          <t>Pendapatan Penjualan Lele</t>
        </is>
      </c>
      <c r="C54" s="17">
        <f>SUMIFS('TRANSAKSI'!$H$10:$H$1000,'TRANSAKSI'!$E$10:$E$1000,$A54,'TRANSAKSI'!$B$10:$B$1000,"&lt;="&amp;EOMONTH(DATE(TahunSel,BulanSel,1),0))</f>
        <v/>
      </c>
      <c r="D54" s="17">
        <f>SUMIFS('TRANSAKSI'!$I$10:$I$1000,'TRANSAKSI'!$E$10:$E$1000,$A54,'TRANSAKSI'!$B$10:$B$1000,"&lt;="&amp;EOMONTH(DATE(TahunSel,BulanSel,1),0))</f>
        <v/>
      </c>
      <c r="E54" s="17">
        <f>IF(C54&gt;D54,C54-D54,0)</f>
        <v/>
      </c>
      <c r="F54" s="17">
        <f>IF(D54&gt;C54,D54-C54,0)</f>
        <v/>
      </c>
    </row>
    <row r="55">
      <c r="A55" s="20" t="inlineStr">
        <is>
          <t>6.1.02.01</t>
        </is>
      </c>
      <c r="B55" s="4" t="inlineStr">
        <is>
          <t>Beban Alat Tulis Kantor (ATK)</t>
        </is>
      </c>
      <c r="C55" s="9">
        <f>SUMIFS('TRANSAKSI'!$H$10:$H$1000,'TRANSAKSI'!$E$10:$E$1000,$A55,'TRANSAKSI'!$B$10:$B$1000,"&lt;="&amp;EOMONTH(DATE(TahunSel,BulanSel,1),0))</f>
        <v/>
      </c>
      <c r="D55" s="9">
        <f>SUMIFS('TRANSAKSI'!$I$10:$I$1000,'TRANSAKSI'!$E$10:$E$1000,$A55,'TRANSAKSI'!$B$10:$B$1000,"&lt;="&amp;EOMONTH(DATE(TahunSel,BulanSel,1),0))</f>
        <v/>
      </c>
      <c r="E55" s="9">
        <f>IF(C55&gt;D55,C55-D55,0)</f>
        <v/>
      </c>
      <c r="F55" s="9">
        <f>IF(D55&gt;C55,D55-C55,0)</f>
        <v/>
      </c>
    </row>
    <row r="56">
      <c r="A56" s="16" t="inlineStr">
        <is>
          <t>6.1.02.02</t>
        </is>
      </c>
      <c r="B56" s="15" t="inlineStr">
        <is>
          <t>Beban Foto Copy</t>
        </is>
      </c>
      <c r="C56" s="17">
        <f>SUMIFS('TRANSAKSI'!$H$10:$H$1000,'TRANSAKSI'!$E$10:$E$1000,$A56,'TRANSAKSI'!$B$10:$B$1000,"&lt;="&amp;EOMONTH(DATE(TahunSel,BulanSel,1),0))</f>
        <v/>
      </c>
      <c r="D56" s="17">
        <f>SUMIFS('TRANSAKSI'!$I$10:$I$1000,'TRANSAKSI'!$E$10:$E$1000,$A56,'TRANSAKSI'!$B$10:$B$1000,"&lt;="&amp;EOMONTH(DATE(TahunSel,BulanSel,1),0))</f>
        <v/>
      </c>
      <c r="E56" s="17">
        <f>IF(C56&gt;D56,C56-D56,0)</f>
        <v/>
      </c>
      <c r="F56" s="17">
        <f>IF(D56&gt;C56,D56-C56,0)</f>
        <v/>
      </c>
    </row>
    <row r="57">
      <c r="A57" s="20" t="inlineStr">
        <is>
          <t>6.1.02.03</t>
        </is>
      </c>
      <c r="B57" s="4" t="inlineStr">
        <is>
          <t>Beban Konsumsi Rapat</t>
        </is>
      </c>
      <c r="C57" s="9">
        <f>SUMIFS('TRANSAKSI'!$H$10:$H$1000,'TRANSAKSI'!$E$10:$E$1000,$A57,'TRANSAKSI'!$B$10:$B$1000,"&lt;="&amp;EOMONTH(DATE(TahunSel,BulanSel,1),0))</f>
        <v/>
      </c>
      <c r="D57" s="9">
        <f>SUMIFS('TRANSAKSI'!$I$10:$I$1000,'TRANSAKSI'!$E$10:$E$1000,$A57,'TRANSAKSI'!$B$10:$B$1000,"&lt;="&amp;EOMONTH(DATE(TahunSel,BulanSel,1),0))</f>
        <v/>
      </c>
      <c r="E57" s="9">
        <f>IF(C57&gt;D57,C57-D57,0)</f>
        <v/>
      </c>
      <c r="F57" s="9">
        <f>IF(D57&gt;C57,D57-C57,0)</f>
        <v/>
      </c>
    </row>
    <row r="58">
      <c r="A58" s="16" t="inlineStr">
        <is>
          <t>6.1.04.01</t>
        </is>
      </c>
      <c r="B58" s="15" t="inlineStr">
        <is>
          <t>Beban Listrik</t>
        </is>
      </c>
      <c r="C58" s="17">
        <f>SUMIFS('TRANSAKSI'!$H$10:$H$1000,'TRANSAKSI'!$E$10:$E$1000,$A58,'TRANSAKSI'!$B$10:$B$1000,"&lt;="&amp;EOMONTH(DATE(TahunSel,BulanSel,1),0))</f>
        <v/>
      </c>
      <c r="D58" s="17">
        <f>SUMIFS('TRANSAKSI'!$I$10:$I$1000,'TRANSAKSI'!$E$10:$E$1000,$A58,'TRANSAKSI'!$B$10:$B$1000,"&lt;="&amp;EOMONTH(DATE(TahunSel,BulanSel,1),0))</f>
        <v/>
      </c>
      <c r="E58" s="17">
        <f>IF(C58&gt;D58,C58-D58,0)</f>
        <v/>
      </c>
      <c r="F58" s="17">
        <f>IF(D58&gt;C58,D58-C58,0)</f>
        <v/>
      </c>
    </row>
    <row r="59">
      <c r="A59" s="20" t="inlineStr">
        <is>
          <t>6.1.04.02</t>
        </is>
      </c>
      <c r="B59" s="4" t="inlineStr">
        <is>
          <t>Beban Telepon/Internet</t>
        </is>
      </c>
      <c r="C59" s="9">
        <f>SUMIFS('TRANSAKSI'!$H$10:$H$1000,'TRANSAKSI'!$E$10:$E$1000,$A59,'TRANSAKSI'!$B$10:$B$1000,"&lt;="&amp;EOMONTH(DATE(TahunSel,BulanSel,1),0))</f>
        <v/>
      </c>
      <c r="D59" s="9">
        <f>SUMIFS('TRANSAKSI'!$I$10:$I$1000,'TRANSAKSI'!$E$10:$E$1000,$A59,'TRANSAKSI'!$B$10:$B$1000,"&lt;="&amp;EOMONTH(DATE(TahunSel,BulanSel,1),0))</f>
        <v/>
      </c>
      <c r="E59" s="9">
        <f>IF(C59&gt;D59,C59-D59,0)</f>
        <v/>
      </c>
      <c r="F59" s="9">
        <f>IF(D59&gt;C59,D59-C59,0)</f>
        <v/>
      </c>
    </row>
    <row r="60">
      <c r="A60" s="16" t="inlineStr">
        <is>
          <t>6.1.07.02</t>
        </is>
      </c>
      <c r="B60" s="15" t="inlineStr">
        <is>
          <t>Beban Penyusutan Kendaraan</t>
        </is>
      </c>
      <c r="C60" s="17">
        <f>SUMIFS('TRANSAKSI'!$H$10:$H$1000,'TRANSAKSI'!$E$10:$E$1000,$A60,'TRANSAKSI'!$B$10:$B$1000,"&lt;="&amp;EOMONTH(DATE(TahunSel,BulanSel,1),0))</f>
        <v/>
      </c>
      <c r="D60" s="17">
        <f>SUMIFS('TRANSAKSI'!$I$10:$I$1000,'TRANSAKSI'!$E$10:$E$1000,$A60,'TRANSAKSI'!$B$10:$B$1000,"&lt;="&amp;EOMONTH(DATE(TahunSel,BulanSel,1),0))</f>
        <v/>
      </c>
      <c r="E60" s="17">
        <f>IF(C60&gt;D60,C60-D60,0)</f>
        <v/>
      </c>
      <c r="F60" s="17">
        <f>IF(D60&gt;C60,D60-C60,0)</f>
        <v/>
      </c>
    </row>
    <row r="61">
      <c r="A61" s="20" t="inlineStr">
        <is>
          <t>6.1.07.03</t>
        </is>
      </c>
      <c r="B61" s="4" t="inlineStr">
        <is>
          <t>Beban Penyusutan Peralatan dan Mesin</t>
        </is>
      </c>
      <c r="C61" s="9">
        <f>SUMIFS('TRANSAKSI'!$H$10:$H$1000,'TRANSAKSI'!$E$10:$E$1000,$A61,'TRANSAKSI'!$B$10:$B$1000,"&lt;="&amp;EOMONTH(DATE(TahunSel,BulanSel,1),0))</f>
        <v/>
      </c>
      <c r="D61" s="9">
        <f>SUMIFS('TRANSAKSI'!$I$10:$I$1000,'TRANSAKSI'!$E$10:$E$1000,$A61,'TRANSAKSI'!$B$10:$B$1000,"&lt;="&amp;EOMONTH(DATE(TahunSel,BulanSel,1),0))</f>
        <v/>
      </c>
      <c r="E61" s="9">
        <f>IF(C61&gt;D61,C61-D61,0)</f>
        <v/>
      </c>
      <c r="F61" s="9">
        <f>IF(D61&gt;C61,D61-C61,0)</f>
        <v/>
      </c>
    </row>
    <row r="62">
      <c r="A62" s="16" t="inlineStr">
        <is>
          <t>6.1.07.04</t>
        </is>
      </c>
      <c r="B62" s="15" t="inlineStr">
        <is>
          <t>Beban Penyusutan Meubelair</t>
        </is>
      </c>
      <c r="C62" s="17">
        <f>SUMIFS('TRANSAKSI'!$H$10:$H$1000,'TRANSAKSI'!$E$10:$E$1000,$A62,'TRANSAKSI'!$B$10:$B$1000,"&lt;="&amp;EOMONTH(DATE(TahunSel,BulanSel,1),0))</f>
        <v/>
      </c>
      <c r="D62" s="17">
        <f>SUMIFS('TRANSAKSI'!$I$10:$I$1000,'TRANSAKSI'!$E$10:$E$1000,$A62,'TRANSAKSI'!$B$10:$B$1000,"&lt;="&amp;EOMONTH(DATE(TahunSel,BulanSel,1),0))</f>
        <v/>
      </c>
      <c r="E62" s="17">
        <f>IF(C62&gt;D62,C62-D62,0)</f>
        <v/>
      </c>
      <c r="F62" s="17">
        <f>IF(D62&gt;C62,D62-C62,0)</f>
        <v/>
      </c>
    </row>
    <row r="63">
      <c r="A63" s="20" t="inlineStr">
        <is>
          <t>6.1.07.05</t>
        </is>
      </c>
      <c r="B63" s="4" t="inlineStr">
        <is>
          <t>Beban Penyusutan Gedung dan Bangunan</t>
        </is>
      </c>
      <c r="C63" s="9">
        <f>SUMIFS('TRANSAKSI'!$H$10:$H$1000,'TRANSAKSI'!$E$10:$E$1000,$A63,'TRANSAKSI'!$B$10:$B$1000,"&lt;="&amp;EOMONTH(DATE(TahunSel,BulanSel,1),0))</f>
        <v/>
      </c>
      <c r="D63" s="9">
        <f>SUMIFS('TRANSAKSI'!$I$10:$I$1000,'TRANSAKSI'!$E$10:$E$1000,$A63,'TRANSAKSI'!$B$10:$B$1000,"&lt;="&amp;EOMONTH(DATE(TahunSel,BulanSel,1),0))</f>
        <v/>
      </c>
      <c r="E63" s="9">
        <f>IF(C63&gt;D63,C63-D63,0)</f>
        <v/>
      </c>
      <c r="F63" s="9">
        <f>IF(D63&gt;C63,D63-C63,0)</f>
        <v/>
      </c>
    </row>
    <row r="64">
      <c r="A64" s="16" t="inlineStr">
        <is>
          <t>6.1.99.03</t>
        </is>
      </c>
      <c r="B64" s="15" t="inlineStr">
        <is>
          <t>Beban Perjalanan Dinas</t>
        </is>
      </c>
      <c r="C64" s="17">
        <f>SUMIFS('TRANSAKSI'!$H$10:$H$1000,'TRANSAKSI'!$E$10:$E$1000,$A64,'TRANSAKSI'!$B$10:$B$1000,"&lt;="&amp;EOMONTH(DATE(TahunSel,BulanSel,1),0))</f>
        <v/>
      </c>
      <c r="D64" s="17">
        <f>SUMIFS('TRANSAKSI'!$I$10:$I$1000,'TRANSAKSI'!$E$10:$E$1000,$A64,'TRANSAKSI'!$B$10:$B$1000,"&lt;="&amp;EOMONTH(DATE(TahunSel,BulanSel,1),0))</f>
        <v/>
      </c>
      <c r="E64" s="17">
        <f>IF(C64&gt;D64,C64-D64,0)</f>
        <v/>
      </c>
      <c r="F64" s="17">
        <f>IF(D64&gt;C64,D64-C64,0)</f>
        <v/>
      </c>
    </row>
    <row r="65">
      <c r="A65" s="20" t="inlineStr">
        <is>
          <t>6.1.99.05</t>
        </is>
      </c>
      <c r="B65" s="4" t="inlineStr">
        <is>
          <t>Beban Jamuan Tamu</t>
        </is>
      </c>
      <c r="C65" s="9">
        <f>SUMIFS('TRANSAKSI'!$H$10:$H$1000,'TRANSAKSI'!$E$10:$E$1000,$A65,'TRANSAKSI'!$B$10:$B$1000,"&lt;="&amp;EOMONTH(DATE(TahunSel,BulanSel,1),0))</f>
        <v/>
      </c>
      <c r="D65" s="9">
        <f>SUMIFS('TRANSAKSI'!$I$10:$I$1000,'TRANSAKSI'!$E$10:$E$1000,$A65,'TRANSAKSI'!$B$10:$B$1000,"&lt;="&amp;EOMONTH(DATE(TahunSel,BulanSel,1),0))</f>
        <v/>
      </c>
      <c r="E65" s="9">
        <f>IF(C65&gt;D65,C65-D65,0)</f>
        <v/>
      </c>
      <c r="F65" s="9">
        <f>IF(D65&gt;C65,D65-C65,0)</f>
        <v/>
      </c>
    </row>
    <row r="66">
      <c r="A66" s="16" t="inlineStr">
        <is>
          <t>6.2.01.03</t>
        </is>
      </c>
      <c r="B66" s="15" t="inlineStr">
        <is>
          <t>Beban Gaji Penasihat</t>
        </is>
      </c>
      <c r="C66" s="17">
        <f>SUMIFS('TRANSAKSI'!$H$10:$H$1000,'TRANSAKSI'!$E$10:$E$1000,$A66,'TRANSAKSI'!$B$10:$B$1000,"&lt;="&amp;EOMONTH(DATE(TahunSel,BulanSel,1),0))</f>
        <v/>
      </c>
      <c r="D66" s="17">
        <f>SUMIFS('TRANSAKSI'!$I$10:$I$1000,'TRANSAKSI'!$E$10:$E$1000,$A66,'TRANSAKSI'!$B$10:$B$1000,"&lt;="&amp;EOMONTH(DATE(TahunSel,BulanSel,1),0))</f>
        <v/>
      </c>
      <c r="E66" s="17">
        <f>IF(C66&gt;D66,C66-D66,0)</f>
        <v/>
      </c>
      <c r="F66" s="17">
        <f>IF(D66&gt;C66,D66-C66,0)</f>
        <v/>
      </c>
    </row>
    <row r="67">
      <c r="A67" s="20" t="inlineStr">
        <is>
          <t>6.2.01.04</t>
        </is>
      </c>
      <c r="B67" s="4" t="inlineStr">
        <is>
          <t>Beban Gaji Pengawas</t>
        </is>
      </c>
      <c r="C67" s="9">
        <f>SUMIFS('TRANSAKSI'!$H$10:$H$1000,'TRANSAKSI'!$E$10:$E$1000,$A67,'TRANSAKSI'!$B$10:$B$1000,"&lt;="&amp;EOMONTH(DATE(TahunSel,BulanSel,1),0))</f>
        <v/>
      </c>
      <c r="D67" s="9">
        <f>SUMIFS('TRANSAKSI'!$I$10:$I$1000,'TRANSAKSI'!$E$10:$E$1000,$A67,'TRANSAKSI'!$B$10:$B$1000,"&lt;="&amp;EOMONTH(DATE(TahunSel,BulanSel,1),0))</f>
        <v/>
      </c>
      <c r="E67" s="9">
        <f>IF(C67&gt;D67,C67-D67,0)</f>
        <v/>
      </c>
      <c r="F67" s="9">
        <f>IF(D67&gt;C67,D67-C67,0)</f>
        <v/>
      </c>
    </row>
    <row r="68">
      <c r="A68" s="16" t="inlineStr">
        <is>
          <t>6.2.01.05</t>
        </is>
      </c>
      <c r="B68" s="15" t="inlineStr">
        <is>
          <t>Beban Gaji Direktur</t>
        </is>
      </c>
      <c r="C68" s="17">
        <f>SUMIFS('TRANSAKSI'!$H$10:$H$1000,'TRANSAKSI'!$E$10:$E$1000,$A68,'TRANSAKSI'!$B$10:$B$1000,"&lt;="&amp;EOMONTH(DATE(TahunSel,BulanSel,1),0))</f>
        <v/>
      </c>
      <c r="D68" s="17">
        <f>SUMIFS('TRANSAKSI'!$I$10:$I$1000,'TRANSAKSI'!$E$10:$E$1000,$A68,'TRANSAKSI'!$B$10:$B$1000,"&lt;="&amp;EOMONTH(DATE(TahunSel,BulanSel,1),0))</f>
        <v/>
      </c>
      <c r="E68" s="17">
        <f>IF(C68&gt;D68,C68-D68,0)</f>
        <v/>
      </c>
      <c r="F68" s="17">
        <f>IF(D68&gt;C68,D68-C68,0)</f>
        <v/>
      </c>
    </row>
    <row r="69">
      <c r="A69" s="20" t="inlineStr">
        <is>
          <t>6.2.01.07</t>
        </is>
      </c>
      <c r="B69" s="4" t="inlineStr">
        <is>
          <t>Beban Gaji Bendahara</t>
        </is>
      </c>
      <c r="C69" s="9">
        <f>SUMIFS('TRANSAKSI'!$H$10:$H$1000,'TRANSAKSI'!$E$10:$E$1000,$A69,'TRANSAKSI'!$B$10:$B$1000,"&lt;="&amp;EOMONTH(DATE(TahunSel,BulanSel,1),0))</f>
        <v/>
      </c>
      <c r="D69" s="9">
        <f>SUMIFS('TRANSAKSI'!$I$10:$I$1000,'TRANSAKSI'!$E$10:$E$1000,$A69,'TRANSAKSI'!$B$10:$B$1000,"&lt;="&amp;EOMONTH(DATE(TahunSel,BulanSel,1),0))</f>
        <v/>
      </c>
      <c r="E69" s="9">
        <f>IF(C69&gt;D69,C69-D69,0)</f>
        <v/>
      </c>
      <c r="F69" s="9">
        <f>IF(D69&gt;C69,D69-C69,0)</f>
        <v/>
      </c>
    </row>
    <row r="70">
      <c r="A70" s="16" t="inlineStr">
        <is>
          <t>6.2.02.02</t>
        </is>
      </c>
      <c r="B70" s="15" t="inlineStr">
        <is>
          <t>Beban Perbaikan dan Renovasi</t>
        </is>
      </c>
      <c r="C70" s="17">
        <f>SUMIFS('TRANSAKSI'!$H$10:$H$1000,'TRANSAKSI'!$E$10:$E$1000,$A70,'TRANSAKSI'!$B$10:$B$1000,"&lt;="&amp;EOMONTH(DATE(TahunSel,BulanSel,1),0))</f>
        <v/>
      </c>
      <c r="D70" s="17">
        <f>SUMIFS('TRANSAKSI'!$I$10:$I$1000,'TRANSAKSI'!$E$10:$E$1000,$A70,'TRANSAKSI'!$B$10:$B$1000,"&lt;="&amp;EOMONTH(DATE(TahunSel,BulanSel,1),0))</f>
        <v/>
      </c>
      <c r="E70" s="17">
        <f>IF(C70&gt;D70,C70-D70,0)</f>
        <v/>
      </c>
      <c r="F70" s="17">
        <f>IF(D70&gt;C70,D70-C70,0)</f>
        <v/>
      </c>
    </row>
    <row r="71">
      <c r="A71" s="20" t="inlineStr">
        <is>
          <t>6.2.99.02</t>
        </is>
      </c>
      <c r="B71" s="4" t="inlineStr">
        <is>
          <t>Beban Sewa Lokasi</t>
        </is>
      </c>
      <c r="C71" s="9">
        <f>SUMIFS('TRANSAKSI'!$H$10:$H$1000,'TRANSAKSI'!$E$10:$E$1000,$A71,'TRANSAKSI'!$B$10:$B$1000,"&lt;="&amp;EOMONTH(DATE(TahunSel,BulanSel,1),0))</f>
        <v/>
      </c>
      <c r="D71" s="9">
        <f>SUMIFS('TRANSAKSI'!$I$10:$I$1000,'TRANSAKSI'!$E$10:$E$1000,$A71,'TRANSAKSI'!$B$10:$B$1000,"&lt;="&amp;EOMONTH(DATE(TahunSel,BulanSel,1),0))</f>
        <v/>
      </c>
      <c r="E71" s="9">
        <f>IF(C71&gt;D71,C71-D71,0)</f>
        <v/>
      </c>
      <c r="F71" s="9">
        <f>IF(D71&gt;C71,D71-C71,0)</f>
        <v/>
      </c>
    </row>
    <row r="72">
      <c r="A72" s="16" t="inlineStr">
        <is>
          <t>6.2.99.04</t>
        </is>
      </c>
      <c r="B72" s="15" t="inlineStr">
        <is>
          <t>Beban Pakan Ternak</t>
        </is>
      </c>
      <c r="C72" s="17">
        <f>SUMIFS('TRANSAKSI'!$H$10:$H$1000,'TRANSAKSI'!$E$10:$E$1000,$A72,'TRANSAKSI'!$B$10:$B$1000,"&lt;="&amp;EOMONTH(DATE(TahunSel,BulanSel,1),0))</f>
        <v/>
      </c>
      <c r="D72" s="17">
        <f>SUMIFS('TRANSAKSI'!$I$10:$I$1000,'TRANSAKSI'!$E$10:$E$1000,$A72,'TRANSAKSI'!$B$10:$B$1000,"&lt;="&amp;EOMONTH(DATE(TahunSel,BulanSel,1),0))</f>
        <v/>
      </c>
      <c r="E72" s="17">
        <f>IF(C72&gt;D72,C72-D72,0)</f>
        <v/>
      </c>
      <c r="F72" s="17">
        <f>IF(D72&gt;C72,D72-C72,0)</f>
        <v/>
      </c>
    </row>
    <row r="73">
      <c r="A73" s="20" t="inlineStr">
        <is>
          <t>6.2.99.05</t>
        </is>
      </c>
      <c r="B73" s="4" t="inlineStr">
        <is>
          <t>Beban Pupuk dan Obat-obatan</t>
        </is>
      </c>
      <c r="C73" s="9">
        <f>SUMIFS('TRANSAKSI'!$H$10:$H$1000,'TRANSAKSI'!$E$10:$E$1000,$A73,'TRANSAKSI'!$B$10:$B$1000,"&lt;="&amp;EOMONTH(DATE(TahunSel,BulanSel,1),0))</f>
        <v/>
      </c>
      <c r="D73" s="9">
        <f>SUMIFS('TRANSAKSI'!$I$10:$I$1000,'TRANSAKSI'!$E$10:$E$1000,$A73,'TRANSAKSI'!$B$10:$B$1000,"&lt;="&amp;EOMONTH(DATE(TahunSel,BulanSel,1),0))</f>
        <v/>
      </c>
      <c r="E73" s="9">
        <f>IF(C73&gt;D73,C73-D73,0)</f>
        <v/>
      </c>
      <c r="F73" s="9">
        <f>IF(D73&gt;C73,D73-C73,0)</f>
        <v/>
      </c>
    </row>
    <row r="74">
      <c r="A74" s="16" t="inlineStr">
        <is>
          <t>6.2.99.06</t>
        </is>
      </c>
      <c r="B74" s="15" t="inlineStr">
        <is>
          <t>Beban Peralatan dan Mesin</t>
        </is>
      </c>
      <c r="C74" s="17">
        <f>SUMIFS('TRANSAKSI'!$H$10:$H$1000,'TRANSAKSI'!$E$10:$E$1000,$A74,'TRANSAKSI'!$B$10:$B$1000,"&lt;="&amp;EOMONTH(DATE(TahunSel,BulanSel,1),0))</f>
        <v/>
      </c>
      <c r="D74" s="17">
        <f>SUMIFS('TRANSAKSI'!$I$10:$I$1000,'TRANSAKSI'!$E$10:$E$1000,$A74,'TRANSAKSI'!$B$10:$B$1000,"&lt;="&amp;EOMONTH(DATE(TahunSel,BulanSel,1),0))</f>
        <v/>
      </c>
      <c r="E74" s="17">
        <f>IF(C74&gt;D74,C74-D74,0)</f>
        <v/>
      </c>
      <c r="F74" s="17">
        <f>IF(D74&gt;C74,D74-C74,0)</f>
        <v/>
      </c>
    </row>
    <row r="75">
      <c r="A75" s="20" t="inlineStr">
        <is>
          <t>6.2.99.07</t>
        </is>
      </c>
      <c r="B75" s="4" t="inlineStr">
        <is>
          <t>Beban Vaksinasi dan Obat</t>
        </is>
      </c>
      <c r="C75" s="9">
        <f>SUMIFS('TRANSAKSI'!$H$10:$H$1000,'TRANSAKSI'!$E$10:$E$1000,$A75,'TRANSAKSI'!$B$10:$B$1000,"&lt;="&amp;EOMONTH(DATE(TahunSel,BulanSel,1),0))</f>
        <v/>
      </c>
      <c r="D75" s="9">
        <f>SUMIFS('TRANSAKSI'!$I$10:$I$1000,'TRANSAKSI'!$E$10:$E$1000,$A75,'TRANSAKSI'!$B$10:$B$1000,"&lt;="&amp;EOMONTH(DATE(TahunSel,BulanSel,1),0))</f>
        <v/>
      </c>
      <c r="E75" s="9">
        <f>IF(C75&gt;D75,C75-D75,0)</f>
        <v/>
      </c>
      <c r="F75" s="9">
        <f>IF(D75&gt;C75,D75-C75,0)</f>
        <v/>
      </c>
    </row>
    <row r="76">
      <c r="A76" s="16" t="inlineStr">
        <is>
          <t>6.2.99.99</t>
        </is>
      </c>
      <c r="B76" s="15" t="inlineStr">
        <is>
          <t>Beban Operasional Lainnya</t>
        </is>
      </c>
      <c r="C76" s="17">
        <f>SUMIFS('TRANSAKSI'!$H$10:$H$1000,'TRANSAKSI'!$E$10:$E$1000,$A76,'TRANSAKSI'!$B$10:$B$1000,"&lt;="&amp;EOMONTH(DATE(TahunSel,BulanSel,1),0))</f>
        <v/>
      </c>
      <c r="D76" s="17">
        <f>SUMIFS('TRANSAKSI'!$I$10:$I$1000,'TRANSAKSI'!$E$10:$E$1000,$A76,'TRANSAKSI'!$B$10:$B$1000,"&lt;="&amp;EOMONTH(DATE(TahunSel,BulanSel,1),0))</f>
        <v/>
      </c>
      <c r="E76" s="17">
        <f>IF(C76&gt;D76,C76-D76,0)</f>
        <v/>
      </c>
      <c r="F76" s="17">
        <f>IF(D76&gt;C76,D76-C76,0)</f>
        <v/>
      </c>
    </row>
    <row r="77">
      <c r="A77" s="20" t="inlineStr">
        <is>
          <t>7.2.01.01</t>
        </is>
      </c>
      <c r="B77" s="4" t="inlineStr">
        <is>
          <t>Beban Administrasi Bank</t>
        </is>
      </c>
      <c r="C77" s="9">
        <f>SUMIFS('TRANSAKSI'!$H$10:$H$1000,'TRANSAKSI'!$E$10:$E$1000,$A77,'TRANSAKSI'!$B$10:$B$1000,"&lt;="&amp;EOMONTH(DATE(TahunSel,BulanSel,1),0))</f>
        <v/>
      </c>
      <c r="D77" s="9">
        <f>SUMIFS('TRANSAKSI'!$I$10:$I$1000,'TRANSAKSI'!$E$10:$E$1000,$A77,'TRANSAKSI'!$B$10:$B$1000,"&lt;="&amp;EOMONTH(DATE(TahunSel,BulanSel,1),0))</f>
        <v/>
      </c>
      <c r="E77" s="9">
        <f>IF(C77&gt;D77,C77-D77,0)</f>
        <v/>
      </c>
      <c r="F77" s="9">
        <f>IF(D77&gt;C77,D77-C77,0)</f>
        <v/>
      </c>
    </row>
    <row r="78">
      <c r="A78" s="16" t="inlineStr">
        <is>
          <t>7.3.01.03</t>
        </is>
      </c>
      <c r="B78" s="15" t="inlineStr">
        <is>
          <t>Beban Pajak Daerah</t>
        </is>
      </c>
      <c r="C78" s="17">
        <f>SUMIFS('TRANSAKSI'!$H$10:$H$1000,'TRANSAKSI'!$E$10:$E$1000,$A78,'TRANSAKSI'!$B$10:$B$1000,"&lt;="&amp;EOMONTH(DATE(TahunSel,BulanSel,1),0))</f>
        <v/>
      </c>
      <c r="D78" s="17">
        <f>SUMIFS('TRANSAKSI'!$I$10:$I$1000,'TRANSAKSI'!$E$10:$E$1000,$A78,'TRANSAKSI'!$B$10:$B$1000,"&lt;="&amp;EOMONTH(DATE(TahunSel,BulanSel,1),0))</f>
        <v/>
      </c>
      <c r="E78" s="17">
        <f>IF(C78&gt;D78,C78-D78,0)</f>
        <v/>
      </c>
      <c r="F78" s="17">
        <f>IF(D78&gt;C78,D78-C78,0)</f>
        <v/>
      </c>
    </row>
    <row r="79">
      <c r="A79" s="6" t="n"/>
      <c r="B79" s="6" t="inlineStr">
        <is>
          <t>TOTAL</t>
        </is>
      </c>
      <c r="C79" s="23">
        <f>SUM(C7:C78)</f>
        <v/>
      </c>
      <c r="D79" s="23">
        <f>SUM(D7:D78)</f>
        <v/>
      </c>
      <c r="E79" s="23">
        <f>SUM(E7:E78)</f>
        <v/>
      </c>
      <c r="F79" s="23">
        <f>SUM(F7:F78)</f>
        <v/>
      </c>
    </row>
    <row r="81">
      <c r="A81" s="24" t="n"/>
      <c r="B81" s="24" t="inlineStr">
        <is>
          <t>Laba/(Rugi) berjalan s/d periode</t>
        </is>
      </c>
      <c r="C81" s="24" t="n"/>
      <c r="D81" s="24" t="n"/>
      <c r="E81" s="25">
        <f>IF('LABA RUGI'!$D$50&lt;0,ABS('LABA RUGI'!$D$50),0)</f>
        <v/>
      </c>
      <c r="F81" s="25">
        <f>IF('LABA RUGI'!$D$50&gt;0,'LABA RUGI'!$D$50,0)</f>
        <v/>
      </c>
    </row>
    <row r="83">
      <c r="A83" s="24" t="n"/>
      <c r="B83" s="24" t="inlineStr">
        <is>
          <t>CHECK MUTASI DEBET = KREDIT</t>
        </is>
      </c>
      <c r="C83" s="24">
        <f>IF(ABS(C79-D79)&lt;1,"OK — seimbang","CEK — tidak seimbang")</f>
        <v/>
      </c>
      <c r="D83" s="24" t="n"/>
      <c r="E83" s="24" t="n"/>
      <c r="F83" s="24" t="n"/>
    </row>
  </sheetData>
  <conditionalFormatting sqref="C83">
    <cfRule type="expression" priority="1" dxfId="0">
      <formula>LEFT(C83,2)="OK"</formula>
    </cfRule>
    <cfRule type="expression" priority="2" dxfId="1">
      <formula>LEFT(C83,2)&lt;&gt;"OK"</formula>
    </cfRule>
  </conditionalFormatting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2:G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21" customWidth="1" min="3" max="3"/>
    <col width="4" customWidth="1" min="4" max="4"/>
    <col width="16" customWidth="1" min="5" max="5"/>
    <col width="44" customWidth="1" min="6" max="6"/>
    <col width="21" customWidth="1" min="7" max="7"/>
  </cols>
  <sheetData>
    <row r="2">
      <c r="B2" s="11" t="inlineStr">
        <is>
          <t>LAPORAN POSISI KEUANGAN (NERACA)</t>
        </is>
      </c>
    </row>
    <row r="3">
      <c r="B3" s="2">
        <f>"Posisi per: "&amp;TEXT(EOMONTH(DATE(TahunSel,BulanSel,1),0),"dd mmmm yyyy")</f>
        <v/>
      </c>
    </row>
    <row r="6">
      <c r="A6" s="12" t="inlineStr">
        <is>
          <t>KODE AKUN</t>
        </is>
      </c>
      <c r="B6" s="12" t="inlineStr">
        <is>
          <t>ASET</t>
        </is>
      </c>
      <c r="C6" s="12" t="inlineStr">
        <is>
          <t>JUMLAH</t>
        </is>
      </c>
      <c r="D6" s="12" t="inlineStr"/>
      <c r="E6" s="12" t="inlineStr">
        <is>
          <t>KODE AKUN</t>
        </is>
      </c>
      <c r="F6" s="12" t="inlineStr">
        <is>
          <t>KEWAJIBAN &amp; EKUITAS</t>
        </is>
      </c>
      <c r="G6" s="12" t="inlineStr">
        <is>
          <t>JUMLAH</t>
        </is>
      </c>
    </row>
    <row r="7">
      <c r="A7" s="20" t="inlineStr">
        <is>
          <t>1.1.01.01</t>
        </is>
      </c>
      <c r="B7" s="4" t="inlineStr">
        <is>
          <t>Kas Tunai</t>
        </is>
      </c>
      <c r="C7" s="9">
        <f>SUMIFS('TRANSAKSI'!$H$10:$H$1000,'TRANSAKSI'!$E$10:$E$1000,$A7,'TRANSAKSI'!$B$10:$B$1000,"&lt;="&amp;EOMONTH(DATE(TahunSel,BulanSel,1),0))-SUMIFS('TRANSAKSI'!$I$10:$I$1000,'TRANSAKSI'!$E$10:$E$1000,$A7,'TRANSAKSI'!$B$10:$B$1000,"&lt;="&amp;EOMONTH(DATE(TahunSel,BulanSel,1),0))</f>
        <v/>
      </c>
      <c r="E7" s="20" t="inlineStr">
        <is>
          <t>2.1.01.01</t>
        </is>
      </c>
      <c r="F7" s="4" t="inlineStr">
        <is>
          <t>Utang Usaha</t>
        </is>
      </c>
      <c r="G7" s="9">
        <f>SUMIFS('TRANSAKSI'!$I$10:$I$1000,'TRANSAKSI'!$E$10:$E$1000,$E7,'TRANSAKSI'!$B$10:$B$1000,"&lt;="&amp;EOMONTH(DATE(TahunSel,BulanSel,1),0))-SUMIFS('TRANSAKSI'!$H$10:$H$1000,'TRANSAKSI'!$E$10:$E$1000,$E7,'TRANSAKSI'!$B$10:$B$1000,"&lt;="&amp;EOMONTH(DATE(TahunSel,BulanSel,1),0))</f>
        <v/>
      </c>
    </row>
    <row r="8">
      <c r="A8" s="16" t="inlineStr">
        <is>
          <t>1.1.01.02</t>
        </is>
      </c>
      <c r="B8" s="15" t="inlineStr">
        <is>
          <t>Kas di Bank BSI</t>
        </is>
      </c>
      <c r="C8" s="17">
        <f>SUMIFS('TRANSAKSI'!$H$10:$H$1000,'TRANSAKSI'!$E$10:$E$1000,$A8,'TRANSAKSI'!$B$10:$B$1000,"&lt;="&amp;EOMONTH(DATE(TahunSel,BulanSel,1),0))-SUMIFS('TRANSAKSI'!$I$10:$I$1000,'TRANSAKSI'!$E$10:$E$1000,$A8,'TRANSAKSI'!$B$10:$B$1000,"&lt;="&amp;EOMONTH(DATE(TahunSel,BulanSel,1),0))</f>
        <v/>
      </c>
      <c r="E8" s="16" t="inlineStr">
        <is>
          <t>2.1.03.01</t>
        </is>
      </c>
      <c r="F8" s="15" t="inlineStr">
        <is>
          <t>Utang Gaji dan Upah</t>
        </is>
      </c>
      <c r="G8" s="17">
        <f>SUMIFS('TRANSAKSI'!$I$10:$I$1000,'TRANSAKSI'!$E$10:$E$1000,$E8,'TRANSAKSI'!$B$10:$B$1000,"&lt;="&amp;EOMONTH(DATE(TahunSel,BulanSel,1),0))-SUMIFS('TRANSAKSI'!$H$10:$H$1000,'TRANSAKSI'!$E$10:$E$1000,$E8,'TRANSAKSI'!$B$10:$B$1000,"&lt;="&amp;EOMONTH(DATE(TahunSel,BulanSel,1),0))</f>
        <v/>
      </c>
    </row>
    <row r="9">
      <c r="A9" s="20" t="inlineStr">
        <is>
          <t>1.1.01.03</t>
        </is>
      </c>
      <c r="B9" s="4" t="inlineStr">
        <is>
          <t>Kas di Bank Mandiri</t>
        </is>
      </c>
      <c r="C9" s="9">
        <f>SUMIFS('TRANSAKSI'!$H$10:$H$1000,'TRANSAKSI'!$E$10:$E$1000,$A9,'TRANSAKSI'!$B$10:$B$1000,"&lt;="&amp;EOMONTH(DATE(TahunSel,BulanSel,1),0))-SUMIFS('TRANSAKSI'!$I$10:$I$1000,'TRANSAKSI'!$E$10:$E$1000,$A9,'TRANSAKSI'!$B$10:$B$1000,"&lt;="&amp;EOMONTH(DATE(TahunSel,BulanSel,1),0))</f>
        <v/>
      </c>
      <c r="E9" s="20" t="inlineStr">
        <is>
          <t>2.1.04.01</t>
        </is>
      </c>
      <c r="F9" s="4" t="inlineStr">
        <is>
          <t>Utang Listrik</t>
        </is>
      </c>
      <c r="G9" s="9">
        <f>SUMIFS('TRANSAKSI'!$I$10:$I$1000,'TRANSAKSI'!$E$10:$E$1000,$E9,'TRANSAKSI'!$B$10:$B$1000,"&lt;="&amp;EOMONTH(DATE(TahunSel,BulanSel,1),0))-SUMIFS('TRANSAKSI'!$H$10:$H$1000,'TRANSAKSI'!$E$10:$E$1000,$E9,'TRANSAKSI'!$B$10:$B$1000,"&lt;="&amp;EOMONTH(DATE(TahunSel,BulanSel,1),0))</f>
        <v/>
      </c>
    </row>
    <row r="10">
      <c r="A10" s="16" t="inlineStr">
        <is>
          <t>1.1.01.04</t>
        </is>
      </c>
      <c r="B10" s="15" t="inlineStr">
        <is>
          <t>Kas di Bank BRI</t>
        </is>
      </c>
      <c r="C10" s="17">
        <f>SUMIFS('TRANSAKSI'!$H$10:$H$1000,'TRANSAKSI'!$E$10:$E$1000,$A10,'TRANSAKSI'!$B$10:$B$1000,"&lt;="&amp;EOMONTH(DATE(TahunSel,BulanSel,1),0))-SUMIFS('TRANSAKSI'!$I$10:$I$1000,'TRANSAKSI'!$E$10:$E$1000,$A10,'TRANSAKSI'!$B$10:$B$1000,"&lt;="&amp;EOMONTH(DATE(TahunSel,BulanSel,1),0))</f>
        <v/>
      </c>
      <c r="E10" s="16" t="inlineStr">
        <is>
          <t>2.1.05.01</t>
        </is>
      </c>
      <c r="F10" s="15" t="inlineStr">
        <is>
          <t>Utang Pihak Ketiga Jangka Pendek</t>
        </is>
      </c>
      <c r="G10" s="17">
        <f>SUMIFS('TRANSAKSI'!$I$10:$I$1000,'TRANSAKSI'!$E$10:$E$1000,$E10,'TRANSAKSI'!$B$10:$B$1000,"&lt;="&amp;EOMONTH(DATE(TahunSel,BulanSel,1),0))-SUMIFS('TRANSAKSI'!$H$10:$H$1000,'TRANSAKSI'!$E$10:$E$1000,$E10,'TRANSAKSI'!$B$10:$B$1000,"&lt;="&amp;EOMONTH(DATE(TahunSel,BulanSel,1),0))</f>
        <v/>
      </c>
    </row>
    <row r="11">
      <c r="A11" s="20" t="inlineStr">
        <is>
          <t>1.1.01.05</t>
        </is>
      </c>
      <c r="B11" s="4" t="inlineStr">
        <is>
          <t>Kas di Bank BPD</t>
        </is>
      </c>
      <c r="C11" s="9">
        <f>SUMIFS('TRANSAKSI'!$H$10:$H$1000,'TRANSAKSI'!$E$10:$E$1000,$A11,'TRANSAKSI'!$B$10:$B$1000,"&lt;="&amp;EOMONTH(DATE(TahunSel,BulanSel,1),0))-SUMIFS('TRANSAKSI'!$I$10:$I$1000,'TRANSAKSI'!$E$10:$E$1000,$A11,'TRANSAKSI'!$B$10:$B$1000,"&lt;="&amp;EOMONTH(DATE(TahunSel,BulanSel,1),0))</f>
        <v/>
      </c>
      <c r="E11" s="20" t="inlineStr">
        <is>
          <t>2.2.01.01</t>
        </is>
      </c>
      <c r="F11" s="4" t="inlineStr">
        <is>
          <t>Utang Bank</t>
        </is>
      </c>
      <c r="G11" s="9">
        <f>SUMIFS('TRANSAKSI'!$I$10:$I$1000,'TRANSAKSI'!$E$10:$E$1000,$E11,'TRANSAKSI'!$B$10:$B$1000,"&lt;="&amp;EOMONTH(DATE(TahunSel,BulanSel,1),0))-SUMIFS('TRANSAKSI'!$H$10:$H$1000,'TRANSAKSI'!$E$10:$E$1000,$E11,'TRANSAKSI'!$B$10:$B$1000,"&lt;="&amp;EOMONTH(DATE(TahunSel,BulanSel,1),0))</f>
        <v/>
      </c>
    </row>
    <row r="12">
      <c r="A12" s="16" t="inlineStr">
        <is>
          <t>1.1.01.06</t>
        </is>
      </c>
      <c r="B12" s="15" t="inlineStr">
        <is>
          <t>Kas di Bank Jatim</t>
        </is>
      </c>
      <c r="C12" s="17">
        <f>SUMIFS('TRANSAKSI'!$H$10:$H$1000,'TRANSAKSI'!$E$10:$E$1000,$A12,'TRANSAKSI'!$B$10:$B$1000,"&lt;="&amp;EOMONTH(DATE(TahunSel,BulanSel,1),0))-SUMIFS('TRANSAKSI'!$I$10:$I$1000,'TRANSAKSI'!$E$10:$E$1000,$A12,'TRANSAKSI'!$B$10:$B$1000,"&lt;="&amp;EOMONTH(DATE(TahunSel,BulanSel,1),0))</f>
        <v/>
      </c>
      <c r="E12" s="16" t="inlineStr">
        <is>
          <t>3.1.01.01</t>
        </is>
      </c>
      <c r="F12" s="15" t="inlineStr">
        <is>
          <t>Penyertaan Modal Desa</t>
        </is>
      </c>
      <c r="G12" s="17">
        <f>SUMIFS('TRANSAKSI'!$I$10:$I$1000,'TRANSAKSI'!$E$10:$E$1000,$E12,'TRANSAKSI'!$B$10:$B$1000,"&lt;="&amp;EOMONTH(DATE(TahunSel,BulanSel,1),0))-SUMIFS('TRANSAKSI'!$H$10:$H$1000,'TRANSAKSI'!$E$10:$E$1000,$E12,'TRANSAKSI'!$B$10:$B$1000,"&lt;="&amp;EOMONTH(DATE(TahunSel,BulanSel,1),0))</f>
        <v/>
      </c>
    </row>
    <row r="13">
      <c r="A13" s="20" t="inlineStr">
        <is>
          <t>1.1.01.98</t>
        </is>
      </c>
      <c r="B13" s="4" t="inlineStr">
        <is>
          <t>Kas Kecil (Petty Cash)</t>
        </is>
      </c>
      <c r="C13" s="9">
        <f>SUMIFS('TRANSAKSI'!$H$10:$H$1000,'TRANSAKSI'!$E$10:$E$1000,$A13,'TRANSAKSI'!$B$10:$B$1000,"&lt;="&amp;EOMONTH(DATE(TahunSel,BulanSel,1),0))-SUMIFS('TRANSAKSI'!$I$10:$I$1000,'TRANSAKSI'!$E$10:$E$1000,$A13,'TRANSAKSI'!$B$10:$B$1000,"&lt;="&amp;EOMONTH(DATE(TahunSel,BulanSel,1),0))</f>
        <v/>
      </c>
      <c r="E13" s="20" t="inlineStr">
        <is>
          <t>3.1.02.01</t>
        </is>
      </c>
      <c r="F13" s="4" t="inlineStr">
        <is>
          <t>Penyertaan Modal Masyarakat A</t>
        </is>
      </c>
      <c r="G13" s="9">
        <f>SUMIFS('TRANSAKSI'!$I$10:$I$1000,'TRANSAKSI'!$E$10:$E$1000,$E13,'TRANSAKSI'!$B$10:$B$1000,"&lt;="&amp;EOMONTH(DATE(TahunSel,BulanSel,1),0))-SUMIFS('TRANSAKSI'!$H$10:$H$1000,'TRANSAKSI'!$E$10:$E$1000,$E13,'TRANSAKSI'!$B$10:$B$1000,"&lt;="&amp;EOMONTH(DATE(TahunSel,BulanSel,1),0))</f>
        <v/>
      </c>
    </row>
    <row r="14">
      <c r="A14" s="16" t="inlineStr">
        <is>
          <t>1.1.03.01</t>
        </is>
      </c>
      <c r="B14" s="15" t="inlineStr">
        <is>
          <t>Piutang Usaha</t>
        </is>
      </c>
      <c r="C14" s="17">
        <f>SUMIFS('TRANSAKSI'!$H$10:$H$1000,'TRANSAKSI'!$E$10:$E$1000,$A14,'TRANSAKSI'!$B$10:$B$1000,"&lt;="&amp;EOMONTH(DATE(TahunSel,BulanSel,1),0))-SUMIFS('TRANSAKSI'!$I$10:$I$1000,'TRANSAKSI'!$E$10:$E$1000,$A14,'TRANSAKSI'!$B$10:$B$1000,"&lt;="&amp;EOMONTH(DATE(TahunSel,BulanSel,1),0))</f>
        <v/>
      </c>
      <c r="E14" s="16" t="inlineStr">
        <is>
          <t>3.1.02.02</t>
        </is>
      </c>
      <c r="F14" s="15" t="inlineStr">
        <is>
          <t>Penyertaan Modal Masyarakat B</t>
        </is>
      </c>
      <c r="G14" s="17">
        <f>SUMIFS('TRANSAKSI'!$I$10:$I$1000,'TRANSAKSI'!$E$10:$E$1000,$E14,'TRANSAKSI'!$B$10:$B$1000,"&lt;="&amp;EOMONTH(DATE(TahunSel,BulanSel,1),0))-SUMIFS('TRANSAKSI'!$H$10:$H$1000,'TRANSAKSI'!$E$10:$E$1000,$E14,'TRANSAKSI'!$B$10:$B$1000,"&lt;="&amp;EOMONTH(DATE(TahunSel,BulanSel,1),0))</f>
        <v/>
      </c>
    </row>
    <row r="15">
      <c r="A15" s="20" t="inlineStr">
        <is>
          <t>1.1.05.01</t>
        </is>
      </c>
      <c r="B15" s="4" t="inlineStr">
        <is>
          <t>Persediaan Barang Dagangan</t>
        </is>
      </c>
      <c r="C15" s="9">
        <f>SUMIFS('TRANSAKSI'!$H$10:$H$1000,'TRANSAKSI'!$E$10:$E$1000,$A15,'TRANSAKSI'!$B$10:$B$1000,"&lt;="&amp;EOMONTH(DATE(TahunSel,BulanSel,1),0))-SUMIFS('TRANSAKSI'!$I$10:$I$1000,'TRANSAKSI'!$E$10:$E$1000,$A15,'TRANSAKSI'!$B$10:$B$1000,"&lt;="&amp;EOMONTH(DATE(TahunSel,BulanSel,1),0))</f>
        <v/>
      </c>
      <c r="E15" s="20" t="inlineStr">
        <is>
          <t>3.3.01.04</t>
        </is>
      </c>
      <c r="F15" s="4" t="inlineStr">
        <is>
          <t>Saldo Awal</t>
        </is>
      </c>
      <c r="G15" s="9">
        <f>SUMIFS('TRANSAKSI'!$I$10:$I$1000,'TRANSAKSI'!$E$10:$E$1000,$E15,'TRANSAKSI'!$B$10:$B$1000,"&lt;="&amp;EOMONTH(DATE(TahunSel,BulanSel,1),0))-SUMIFS('TRANSAKSI'!$H$10:$H$1000,'TRANSAKSI'!$E$10:$E$1000,$E15,'TRANSAKSI'!$B$10:$B$1000,"&lt;="&amp;EOMONTH(DATE(TahunSel,BulanSel,1),0))</f>
        <v/>
      </c>
    </row>
    <row r="16">
      <c r="A16" s="16" t="inlineStr">
        <is>
          <t>1.1.05.02</t>
        </is>
      </c>
      <c r="B16" s="15" t="inlineStr">
        <is>
          <t>Persediaan Bahan Baku</t>
        </is>
      </c>
      <c r="C16" s="17">
        <f>SUMIFS('TRANSAKSI'!$H$10:$H$1000,'TRANSAKSI'!$E$10:$E$1000,$A16,'TRANSAKSI'!$B$10:$B$1000,"&lt;="&amp;EOMONTH(DATE(TahunSel,BulanSel,1),0))-SUMIFS('TRANSAKSI'!$I$10:$I$1000,'TRANSAKSI'!$E$10:$E$1000,$A16,'TRANSAKSI'!$B$10:$B$1000,"&lt;="&amp;EOMONTH(DATE(TahunSel,BulanSel,1),0))</f>
        <v/>
      </c>
      <c r="E16" s="16" t="inlineStr">
        <is>
          <t>3.4.01.01</t>
        </is>
      </c>
      <c r="F16" s="15" t="inlineStr">
        <is>
          <t>Modal Donasi dan Sumbangan</t>
        </is>
      </c>
      <c r="G16" s="17">
        <f>SUMIFS('TRANSAKSI'!$I$10:$I$1000,'TRANSAKSI'!$E$10:$E$1000,$E16,'TRANSAKSI'!$B$10:$B$1000,"&lt;="&amp;EOMONTH(DATE(TahunSel,BulanSel,1),0))-SUMIFS('TRANSAKSI'!$H$10:$H$1000,'TRANSAKSI'!$E$10:$E$1000,$E16,'TRANSAKSI'!$B$10:$B$1000,"&lt;="&amp;EOMONTH(DATE(TahunSel,BulanSel,1),0))</f>
        <v/>
      </c>
    </row>
    <row r="17">
      <c r="A17" s="20" t="inlineStr">
        <is>
          <t>1.1.07.01</t>
        </is>
      </c>
      <c r="B17" s="4" t="inlineStr">
        <is>
          <t>Sewa Dibayar Dimuka</t>
        </is>
      </c>
      <c r="C17" s="9">
        <f>SUMIFS('TRANSAKSI'!$H$10:$H$1000,'TRANSAKSI'!$E$10:$E$1000,$A17,'TRANSAKSI'!$B$10:$B$1000,"&lt;="&amp;EOMONTH(DATE(TahunSel,BulanSel,1),0))-SUMIFS('TRANSAKSI'!$I$10:$I$1000,'TRANSAKSI'!$E$10:$E$1000,$A17,'TRANSAKSI'!$B$10:$B$1000,"&lt;="&amp;EOMONTH(DATE(TahunSel,BulanSel,1),0))</f>
        <v/>
      </c>
      <c r="E17" s="24" t="n"/>
      <c r="F17" s="24" t="inlineStr">
        <is>
          <t>Laba/(Rugi) berjalan</t>
        </is>
      </c>
      <c r="G17" s="25">
        <f>'LABA RUGI'!$D$50</f>
        <v/>
      </c>
    </row>
    <row r="18">
      <c r="A18" s="16" t="inlineStr">
        <is>
          <t>1.3.01.01</t>
        </is>
      </c>
      <c r="B18" s="15" t="inlineStr">
        <is>
          <t>Tanah</t>
        </is>
      </c>
      <c r="C18" s="17">
        <f>SUMIFS('TRANSAKSI'!$H$10:$H$1000,'TRANSAKSI'!$E$10:$E$1000,$A18,'TRANSAKSI'!$B$10:$B$1000,"&lt;="&amp;EOMONTH(DATE(TahunSel,BulanSel,1),0))-SUMIFS('TRANSAKSI'!$I$10:$I$1000,'TRANSAKSI'!$E$10:$E$1000,$A18,'TRANSAKSI'!$B$10:$B$1000,"&lt;="&amp;EOMONTH(DATE(TahunSel,BulanSel,1),0))</f>
        <v/>
      </c>
      <c r="E18" s="6" t="n"/>
      <c r="F18" s="6" t="inlineStr">
        <is>
          <t>TOTAL KEWAJIBAN &amp; EKUITAS</t>
        </is>
      </c>
      <c r="G18" s="23">
        <f>SUM(G7:G17)</f>
        <v/>
      </c>
    </row>
    <row r="19">
      <c r="A19" s="20" t="inlineStr">
        <is>
          <t>1.3.02.01</t>
        </is>
      </c>
      <c r="B19" s="4" t="inlineStr">
        <is>
          <t>Kendaraan</t>
        </is>
      </c>
      <c r="C19" s="9">
        <f>SUMIFS('TRANSAKSI'!$H$10:$H$1000,'TRANSAKSI'!$E$10:$E$1000,$A19,'TRANSAKSI'!$B$10:$B$1000,"&lt;="&amp;EOMONTH(DATE(TahunSel,BulanSel,1),0))-SUMIFS('TRANSAKSI'!$I$10:$I$1000,'TRANSAKSI'!$E$10:$E$1000,$A19,'TRANSAKSI'!$B$10:$B$1000,"&lt;="&amp;EOMONTH(DATE(TahunSel,BulanSel,1),0))</f>
        <v/>
      </c>
    </row>
    <row r="20">
      <c r="A20" s="16" t="inlineStr">
        <is>
          <t>1.3.03.01</t>
        </is>
      </c>
      <c r="B20" s="15" t="inlineStr">
        <is>
          <t>Peralatan dan Mesin</t>
        </is>
      </c>
      <c r="C20" s="17">
        <f>SUMIFS('TRANSAKSI'!$H$10:$H$1000,'TRANSAKSI'!$E$10:$E$1000,$A20,'TRANSAKSI'!$B$10:$B$1000,"&lt;="&amp;EOMONTH(DATE(TahunSel,BulanSel,1),0))-SUMIFS('TRANSAKSI'!$I$10:$I$1000,'TRANSAKSI'!$E$10:$E$1000,$A20,'TRANSAKSI'!$B$10:$B$1000,"&lt;="&amp;EOMONTH(DATE(TahunSel,BulanSel,1),0))</f>
        <v/>
      </c>
    </row>
    <row r="21">
      <c r="A21" s="20" t="inlineStr">
        <is>
          <t>1.3.04.01</t>
        </is>
      </c>
      <c r="B21" s="4" t="inlineStr">
        <is>
          <t>Meubelair</t>
        </is>
      </c>
      <c r="C21" s="9">
        <f>SUMIFS('TRANSAKSI'!$H$10:$H$1000,'TRANSAKSI'!$E$10:$E$1000,$A21,'TRANSAKSI'!$B$10:$B$1000,"&lt;="&amp;EOMONTH(DATE(TahunSel,BulanSel,1),0))-SUMIFS('TRANSAKSI'!$I$10:$I$1000,'TRANSAKSI'!$E$10:$E$1000,$A21,'TRANSAKSI'!$B$10:$B$1000,"&lt;="&amp;EOMONTH(DATE(TahunSel,BulanSel,1),0))</f>
        <v/>
      </c>
    </row>
    <row r="22">
      <c r="A22" s="16" t="inlineStr">
        <is>
          <t>1.3.05.01</t>
        </is>
      </c>
      <c r="B22" s="15" t="inlineStr">
        <is>
          <t>Gedung dan Bangunan</t>
        </is>
      </c>
      <c r="C22" s="17">
        <f>SUMIFS('TRANSAKSI'!$H$10:$H$1000,'TRANSAKSI'!$E$10:$E$1000,$A22,'TRANSAKSI'!$B$10:$B$1000,"&lt;="&amp;EOMONTH(DATE(TahunSel,BulanSel,1),0))-SUMIFS('TRANSAKSI'!$I$10:$I$1000,'TRANSAKSI'!$E$10:$E$1000,$A22,'TRANSAKSI'!$B$10:$B$1000,"&lt;="&amp;EOMONTH(DATE(TahunSel,BulanSel,1),0))</f>
        <v/>
      </c>
    </row>
    <row r="23">
      <c r="A23" s="20" t="inlineStr">
        <is>
          <t>1.3.07.01</t>
        </is>
      </c>
      <c r="B23" s="4" t="inlineStr">
        <is>
          <t>Akum. Penyusutan Kendaraan</t>
        </is>
      </c>
      <c r="C23" s="9">
        <f>SUMIFS('TRANSAKSI'!$H$10:$H$1000,'TRANSAKSI'!$E$10:$E$1000,$A23,'TRANSAKSI'!$B$10:$B$1000,"&lt;="&amp;EOMONTH(DATE(TahunSel,BulanSel,1),0))-SUMIFS('TRANSAKSI'!$I$10:$I$1000,'TRANSAKSI'!$E$10:$E$1000,$A23,'TRANSAKSI'!$B$10:$B$1000,"&lt;="&amp;EOMONTH(DATE(TahunSel,BulanSel,1),0))</f>
        <v/>
      </c>
    </row>
    <row r="24">
      <c r="A24" s="16" t="inlineStr">
        <is>
          <t>1.3.07.02</t>
        </is>
      </c>
      <c r="B24" s="15" t="inlineStr">
        <is>
          <t>Akum. Penyusutan Peralatan dan Mesin</t>
        </is>
      </c>
      <c r="C24" s="17">
        <f>SUMIFS('TRANSAKSI'!$H$10:$H$1000,'TRANSAKSI'!$E$10:$E$1000,$A24,'TRANSAKSI'!$B$10:$B$1000,"&lt;="&amp;EOMONTH(DATE(TahunSel,BulanSel,1),0))-SUMIFS('TRANSAKSI'!$I$10:$I$1000,'TRANSAKSI'!$E$10:$E$1000,$A24,'TRANSAKSI'!$B$10:$B$1000,"&lt;="&amp;EOMONTH(DATE(TahunSel,BulanSel,1),0))</f>
        <v/>
      </c>
    </row>
    <row r="25">
      <c r="A25" s="20" t="inlineStr">
        <is>
          <t>1.3.07.03</t>
        </is>
      </c>
      <c r="B25" s="4" t="inlineStr">
        <is>
          <t>Akum. Penyusutan Meubelair</t>
        </is>
      </c>
      <c r="C25" s="9">
        <f>SUMIFS('TRANSAKSI'!$H$10:$H$1000,'TRANSAKSI'!$E$10:$E$1000,$A25,'TRANSAKSI'!$B$10:$B$1000,"&lt;="&amp;EOMONTH(DATE(TahunSel,BulanSel,1),0))-SUMIFS('TRANSAKSI'!$I$10:$I$1000,'TRANSAKSI'!$E$10:$E$1000,$A25,'TRANSAKSI'!$B$10:$B$1000,"&lt;="&amp;EOMONTH(DATE(TahunSel,BulanSel,1),0))</f>
        <v/>
      </c>
    </row>
    <row r="26">
      <c r="A26" s="16" t="inlineStr">
        <is>
          <t>1.3.07.04</t>
        </is>
      </c>
      <c r="B26" s="15" t="inlineStr">
        <is>
          <t>Akum. Penyusutan Gedung dan Bangunan</t>
        </is>
      </c>
      <c r="C26" s="17">
        <f>SUMIFS('TRANSAKSI'!$H$10:$H$1000,'TRANSAKSI'!$E$10:$E$1000,$A26,'TRANSAKSI'!$B$10:$B$1000,"&lt;="&amp;EOMONTH(DATE(TahunSel,BulanSel,1),0))-SUMIFS('TRANSAKSI'!$I$10:$I$1000,'TRANSAKSI'!$E$10:$E$1000,$A26,'TRANSAKSI'!$B$10:$B$1000,"&lt;="&amp;EOMONTH(DATE(TahunSel,BulanSel,1),0))</f>
        <v/>
      </c>
    </row>
    <row r="27">
      <c r="A27" s="20" t="inlineStr">
        <is>
          <t>1.3.99.01</t>
        </is>
      </c>
      <c r="B27" s="4" t="inlineStr">
        <is>
          <t>Aset Biologis - Sapi</t>
        </is>
      </c>
      <c r="C27" s="9">
        <f>SUMIFS('TRANSAKSI'!$H$10:$H$1000,'TRANSAKSI'!$E$10:$E$1000,$A27,'TRANSAKSI'!$B$10:$B$1000,"&lt;="&amp;EOMONTH(DATE(TahunSel,BulanSel,1),0))-SUMIFS('TRANSAKSI'!$I$10:$I$1000,'TRANSAKSI'!$E$10:$E$1000,$A27,'TRANSAKSI'!$B$10:$B$1000,"&lt;="&amp;EOMONTH(DATE(TahunSel,BulanSel,1),0))</f>
        <v/>
      </c>
    </row>
    <row r="28">
      <c r="A28" s="16" t="inlineStr">
        <is>
          <t>1.3.99.04</t>
        </is>
      </c>
      <c r="B28" s="15" t="inlineStr">
        <is>
          <t>Aset Biologis - Ayam</t>
        </is>
      </c>
      <c r="C28" s="17">
        <f>SUMIFS('TRANSAKSI'!$H$10:$H$1000,'TRANSAKSI'!$E$10:$E$1000,$A28,'TRANSAKSI'!$B$10:$B$1000,"&lt;="&amp;EOMONTH(DATE(TahunSel,BulanSel,1),0))-SUMIFS('TRANSAKSI'!$I$10:$I$1000,'TRANSAKSI'!$E$10:$E$1000,$A28,'TRANSAKSI'!$B$10:$B$1000,"&lt;="&amp;EOMONTH(DATE(TahunSel,BulanSel,1),0))</f>
        <v/>
      </c>
    </row>
    <row r="29">
      <c r="A29" s="20" t="inlineStr">
        <is>
          <t>1.3.99.05</t>
        </is>
      </c>
      <c r="B29" s="4" t="inlineStr">
        <is>
          <t>Aset Biologis - Padi</t>
        </is>
      </c>
      <c r="C29" s="9">
        <f>SUMIFS('TRANSAKSI'!$H$10:$H$1000,'TRANSAKSI'!$E$10:$E$1000,$A29,'TRANSAKSI'!$B$10:$B$1000,"&lt;="&amp;EOMONTH(DATE(TahunSel,BulanSel,1),0))-SUMIFS('TRANSAKSI'!$I$10:$I$1000,'TRANSAKSI'!$E$10:$E$1000,$A29,'TRANSAKSI'!$B$10:$B$1000,"&lt;="&amp;EOMONTH(DATE(TahunSel,BulanSel,1),0))</f>
        <v/>
      </c>
    </row>
    <row r="30">
      <c r="A30" s="16" t="inlineStr">
        <is>
          <t>1.3.99.06</t>
        </is>
      </c>
      <c r="B30" s="15" t="inlineStr">
        <is>
          <t>Aset Biologis - Jagung</t>
        </is>
      </c>
      <c r="C30" s="17">
        <f>SUMIFS('TRANSAKSI'!$H$10:$H$1000,'TRANSAKSI'!$E$10:$E$1000,$A30,'TRANSAKSI'!$B$10:$B$1000,"&lt;="&amp;EOMONTH(DATE(TahunSel,BulanSel,1),0))-SUMIFS('TRANSAKSI'!$I$10:$I$1000,'TRANSAKSI'!$E$10:$E$1000,$A30,'TRANSAKSI'!$B$10:$B$1000,"&lt;="&amp;EOMONTH(DATE(TahunSel,BulanSel,1),0))</f>
        <v/>
      </c>
    </row>
    <row r="31">
      <c r="A31" s="20" t="inlineStr">
        <is>
          <t>1.4.01.01</t>
        </is>
      </c>
      <c r="B31" s="4" t="inlineStr">
        <is>
          <t>Software</t>
        </is>
      </c>
      <c r="C31" s="9">
        <f>SUMIFS('TRANSAKSI'!$H$10:$H$1000,'TRANSAKSI'!$E$10:$E$1000,$A31,'TRANSAKSI'!$B$10:$B$1000,"&lt;="&amp;EOMONTH(DATE(TahunSel,BulanSel,1),0))-SUMIFS('TRANSAKSI'!$I$10:$I$1000,'TRANSAKSI'!$E$10:$E$1000,$A31,'TRANSAKSI'!$B$10:$B$1000,"&lt;="&amp;EOMONTH(DATE(TahunSel,BulanSel,1),0))</f>
        <v/>
      </c>
    </row>
    <row r="32">
      <c r="A32" s="6" t="n"/>
      <c r="B32" s="6" t="inlineStr">
        <is>
          <t>TOTAL ASET</t>
        </is>
      </c>
      <c r="C32" s="23">
        <f>SUM(C7:C31)</f>
        <v/>
      </c>
    </row>
    <row r="34">
      <c r="A34" s="6" t="n"/>
      <c r="B34" s="6" t="inlineStr">
        <is>
          <t>SELISIH ASET - KEWAJIBAN &amp; EKUITAS</t>
        </is>
      </c>
      <c r="C34" s="23">
        <f>C32-G18</f>
        <v/>
      </c>
      <c r="D34" s="6" t="n"/>
      <c r="E34" s="6" t="n"/>
      <c r="F34" s="6" t="n"/>
      <c r="G34" s="6" t="n"/>
    </row>
    <row r="35">
      <c r="A35" s="24" t="n"/>
      <c r="B35" s="24" t="inlineStr">
        <is>
          <t>CHECK BALANCE</t>
        </is>
      </c>
      <c r="C35" s="24">
        <f>IF(ABS(C34)&lt;1,"OK — balance","CEK — tidak balance")</f>
        <v/>
      </c>
      <c r="D35" s="24" t="n"/>
      <c r="E35" s="24" t="n"/>
      <c r="F35" s="24" t="n"/>
      <c r="G35" s="24" t="n"/>
    </row>
  </sheetData>
  <mergeCells count="1">
    <mergeCell ref="B2:G2"/>
  </mergeCells>
  <conditionalFormatting sqref="C35">
    <cfRule type="expression" priority="1" dxfId="0">
      <formula>LEFT(C35,2)="OK"</formula>
    </cfRule>
    <cfRule type="expression" priority="2" dxfId="1">
      <formula>LEFT(C35,2)&lt;&gt;"OK"</formula>
    </cfRule>
  </conditionalFormatting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tabColor rgb="0006695C"/>
    <outlinePr summaryBelow="1" summaryRight="1"/>
    <pageSetUpPr fitToPage="1"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15" customWidth="1" min="4" max="4"/>
  </cols>
  <sheetData>
    <row r="1">
      <c r="A1" s="12" t="inlineStr">
        <is>
          <t>KODE AKUN</t>
        </is>
      </c>
      <c r="B1" s="12" t="inlineStr">
        <is>
          <t>NAMA AKUN</t>
        </is>
      </c>
      <c r="C1" s="12" t="inlineStr">
        <is>
          <t>KLASIFIKASI</t>
        </is>
      </c>
      <c r="D1" s="12" t="inlineStr">
        <is>
          <t>SALDO NORMAL</t>
        </is>
      </c>
    </row>
    <row r="2">
      <c r="A2" s="27" t="inlineStr">
        <is>
          <t>1.1.01.01</t>
        </is>
      </c>
      <c r="B2" s="28" t="inlineStr">
        <is>
          <t>Kas Tunai</t>
        </is>
      </c>
      <c r="C2" s="15" t="inlineStr">
        <is>
          <t>Aset</t>
        </is>
      </c>
      <c r="D2" s="15" t="inlineStr">
        <is>
          <t>Debit</t>
        </is>
      </c>
    </row>
    <row r="3">
      <c r="A3" s="29" t="inlineStr">
        <is>
          <t>1.1.01.02</t>
        </is>
      </c>
      <c r="B3" s="30" t="inlineStr">
        <is>
          <t>Kas di Bank BSI</t>
        </is>
      </c>
      <c r="C3" s="4" t="inlineStr">
        <is>
          <t>Aset</t>
        </is>
      </c>
      <c r="D3" s="4" t="inlineStr">
        <is>
          <t>Debit</t>
        </is>
      </c>
    </row>
    <row r="4">
      <c r="A4" s="27" t="inlineStr">
        <is>
          <t>1.1.01.03</t>
        </is>
      </c>
      <c r="B4" s="28" t="inlineStr">
        <is>
          <t>Kas di Bank Mandiri</t>
        </is>
      </c>
      <c r="C4" s="15" t="inlineStr">
        <is>
          <t>Aset</t>
        </is>
      </c>
      <c r="D4" s="15" t="inlineStr">
        <is>
          <t>Debit</t>
        </is>
      </c>
    </row>
    <row r="5">
      <c r="A5" s="29" t="inlineStr">
        <is>
          <t>1.1.01.04</t>
        </is>
      </c>
      <c r="B5" s="30" t="inlineStr">
        <is>
          <t>Kas di Bank BRI</t>
        </is>
      </c>
      <c r="C5" s="4" t="inlineStr">
        <is>
          <t>Aset</t>
        </is>
      </c>
      <c r="D5" s="4" t="inlineStr">
        <is>
          <t>Debit</t>
        </is>
      </c>
    </row>
    <row r="6">
      <c r="A6" s="27" t="inlineStr">
        <is>
          <t>1.1.01.05</t>
        </is>
      </c>
      <c r="B6" s="28" t="inlineStr">
        <is>
          <t>Kas di Bank BPD</t>
        </is>
      </c>
      <c r="C6" s="15" t="inlineStr">
        <is>
          <t>Aset</t>
        </is>
      </c>
      <c r="D6" s="15" t="inlineStr">
        <is>
          <t>Debit</t>
        </is>
      </c>
    </row>
    <row r="7">
      <c r="A7" s="29" t="inlineStr">
        <is>
          <t>1.1.01.06</t>
        </is>
      </c>
      <c r="B7" s="30" t="inlineStr">
        <is>
          <t>Kas di Bank Jatim</t>
        </is>
      </c>
      <c r="C7" s="4" t="inlineStr">
        <is>
          <t>Aset</t>
        </is>
      </c>
      <c r="D7" s="4" t="inlineStr">
        <is>
          <t>Debit</t>
        </is>
      </c>
    </row>
    <row r="8">
      <c r="A8" s="27" t="inlineStr">
        <is>
          <t>1.1.01.98</t>
        </is>
      </c>
      <c r="B8" s="28" t="inlineStr">
        <is>
          <t>Kas Kecil (Petty Cash)</t>
        </is>
      </c>
      <c r="C8" s="15" t="inlineStr">
        <is>
          <t>Aset</t>
        </is>
      </c>
      <c r="D8" s="15" t="inlineStr">
        <is>
          <t>Debit</t>
        </is>
      </c>
    </row>
    <row r="9">
      <c r="A9" s="29" t="inlineStr">
        <is>
          <t>1.1.03.01</t>
        </is>
      </c>
      <c r="B9" s="30" t="inlineStr">
        <is>
          <t>Piutang Usaha</t>
        </is>
      </c>
      <c r="C9" s="4" t="inlineStr">
        <is>
          <t>Aset</t>
        </is>
      </c>
      <c r="D9" s="4" t="inlineStr">
        <is>
          <t>Debit</t>
        </is>
      </c>
    </row>
    <row r="10">
      <c r="A10" s="27" t="inlineStr">
        <is>
          <t>1.1.05.01</t>
        </is>
      </c>
      <c r="B10" s="28" t="inlineStr">
        <is>
          <t>Persediaan Barang Dagangan</t>
        </is>
      </c>
      <c r="C10" s="15" t="inlineStr">
        <is>
          <t>Aset</t>
        </is>
      </c>
      <c r="D10" s="15" t="inlineStr">
        <is>
          <t>Debit</t>
        </is>
      </c>
    </row>
    <row r="11">
      <c r="A11" s="29" t="inlineStr">
        <is>
          <t>1.1.05.02</t>
        </is>
      </c>
      <c r="B11" s="30" t="inlineStr">
        <is>
          <t>Persediaan Bahan Baku</t>
        </is>
      </c>
      <c r="C11" s="4" t="inlineStr">
        <is>
          <t>Aset</t>
        </is>
      </c>
      <c r="D11" s="4" t="inlineStr">
        <is>
          <t>Debit</t>
        </is>
      </c>
    </row>
    <row r="12">
      <c r="A12" s="27" t="inlineStr">
        <is>
          <t>1.1.07.01</t>
        </is>
      </c>
      <c r="B12" s="28" t="inlineStr">
        <is>
          <t>Sewa Dibayar Dimuka</t>
        </is>
      </c>
      <c r="C12" s="15" t="inlineStr">
        <is>
          <t>Aset</t>
        </is>
      </c>
      <c r="D12" s="15" t="inlineStr">
        <is>
          <t>Debit</t>
        </is>
      </c>
    </row>
    <row r="13">
      <c r="A13" s="29" t="inlineStr">
        <is>
          <t>1.3.01.01</t>
        </is>
      </c>
      <c r="B13" s="30" t="inlineStr">
        <is>
          <t>Tanah</t>
        </is>
      </c>
      <c r="C13" s="4" t="inlineStr">
        <is>
          <t>Aset</t>
        </is>
      </c>
      <c r="D13" s="4" t="inlineStr">
        <is>
          <t>Debit</t>
        </is>
      </c>
    </row>
    <row r="14">
      <c r="A14" s="27" t="inlineStr">
        <is>
          <t>1.3.02.01</t>
        </is>
      </c>
      <c r="B14" s="28" t="inlineStr">
        <is>
          <t>Kendaraan</t>
        </is>
      </c>
      <c r="C14" s="15" t="inlineStr">
        <is>
          <t>Aset</t>
        </is>
      </c>
      <c r="D14" s="15" t="inlineStr">
        <is>
          <t>Debit</t>
        </is>
      </c>
    </row>
    <row r="15">
      <c r="A15" s="29" t="inlineStr">
        <is>
          <t>1.3.03.01</t>
        </is>
      </c>
      <c r="B15" s="30" t="inlineStr">
        <is>
          <t>Peralatan dan Mesin</t>
        </is>
      </c>
      <c r="C15" s="4" t="inlineStr">
        <is>
          <t>Aset</t>
        </is>
      </c>
      <c r="D15" s="4" t="inlineStr">
        <is>
          <t>Debit</t>
        </is>
      </c>
    </row>
    <row r="16">
      <c r="A16" s="27" t="inlineStr">
        <is>
          <t>1.3.04.01</t>
        </is>
      </c>
      <c r="B16" s="28" t="inlineStr">
        <is>
          <t>Meubelair</t>
        </is>
      </c>
      <c r="C16" s="15" t="inlineStr">
        <is>
          <t>Aset</t>
        </is>
      </c>
      <c r="D16" s="15" t="inlineStr">
        <is>
          <t>Debit</t>
        </is>
      </c>
    </row>
    <row r="17">
      <c r="A17" s="29" t="inlineStr">
        <is>
          <t>1.3.05.01</t>
        </is>
      </c>
      <c r="B17" s="30" t="inlineStr">
        <is>
          <t>Gedung dan Bangunan</t>
        </is>
      </c>
      <c r="C17" s="4" t="inlineStr">
        <is>
          <t>Aset</t>
        </is>
      </c>
      <c r="D17" s="4" t="inlineStr">
        <is>
          <t>Debit</t>
        </is>
      </c>
    </row>
    <row r="18">
      <c r="A18" s="27" t="inlineStr">
        <is>
          <t>1.3.07.01</t>
        </is>
      </c>
      <c r="B18" s="28" t="inlineStr">
        <is>
          <t>Akum. Penyusutan Kendaraan</t>
        </is>
      </c>
      <c r="C18" s="15" t="inlineStr">
        <is>
          <t>Aset</t>
        </is>
      </c>
      <c r="D18" s="15" t="inlineStr">
        <is>
          <t>Kredit</t>
        </is>
      </c>
    </row>
    <row r="19">
      <c r="A19" s="29" t="inlineStr">
        <is>
          <t>1.3.07.02</t>
        </is>
      </c>
      <c r="B19" s="30" t="inlineStr">
        <is>
          <t>Akum. Penyusutan Peralatan dan Mesin</t>
        </is>
      </c>
      <c r="C19" s="4" t="inlineStr">
        <is>
          <t>Aset</t>
        </is>
      </c>
      <c r="D19" s="4" t="inlineStr">
        <is>
          <t>Kredit</t>
        </is>
      </c>
    </row>
    <row r="20">
      <c r="A20" s="27" t="inlineStr">
        <is>
          <t>1.3.07.03</t>
        </is>
      </c>
      <c r="B20" s="28" t="inlineStr">
        <is>
          <t>Akum. Penyusutan Meubelair</t>
        </is>
      </c>
      <c r="C20" s="15" t="inlineStr">
        <is>
          <t>Aset</t>
        </is>
      </c>
      <c r="D20" s="15" t="inlineStr">
        <is>
          <t>Kredit</t>
        </is>
      </c>
    </row>
    <row r="21">
      <c r="A21" s="29" t="inlineStr">
        <is>
          <t>1.3.07.04</t>
        </is>
      </c>
      <c r="B21" s="30" t="inlineStr">
        <is>
          <t>Akum. Penyusutan Gedung dan Bangunan</t>
        </is>
      </c>
      <c r="C21" s="4" t="inlineStr">
        <is>
          <t>Aset</t>
        </is>
      </c>
      <c r="D21" s="4" t="inlineStr">
        <is>
          <t>Kredit</t>
        </is>
      </c>
    </row>
    <row r="22">
      <c r="A22" s="27" t="inlineStr">
        <is>
          <t>1.3.99.01</t>
        </is>
      </c>
      <c r="B22" s="28" t="inlineStr">
        <is>
          <t>Aset Biologis - Sapi</t>
        </is>
      </c>
      <c r="C22" s="15" t="inlineStr">
        <is>
          <t>Aset</t>
        </is>
      </c>
      <c r="D22" s="15" t="inlineStr">
        <is>
          <t>Debit</t>
        </is>
      </c>
    </row>
    <row r="23">
      <c r="A23" s="29" t="inlineStr">
        <is>
          <t>1.3.99.04</t>
        </is>
      </c>
      <c r="B23" s="30" t="inlineStr">
        <is>
          <t>Aset Biologis - Ayam</t>
        </is>
      </c>
      <c r="C23" s="4" t="inlineStr">
        <is>
          <t>Aset</t>
        </is>
      </c>
      <c r="D23" s="4" t="inlineStr">
        <is>
          <t>Debit</t>
        </is>
      </c>
    </row>
    <row r="24">
      <c r="A24" s="27" t="inlineStr">
        <is>
          <t>1.3.99.05</t>
        </is>
      </c>
      <c r="B24" s="28" t="inlineStr">
        <is>
          <t>Aset Biologis - Padi</t>
        </is>
      </c>
      <c r="C24" s="15" t="inlineStr">
        <is>
          <t>Aset</t>
        </is>
      </c>
      <c r="D24" s="15" t="inlineStr">
        <is>
          <t>Debit</t>
        </is>
      </c>
    </row>
    <row r="25">
      <c r="A25" s="29" t="inlineStr">
        <is>
          <t>1.3.99.06</t>
        </is>
      </c>
      <c r="B25" s="30" t="inlineStr">
        <is>
          <t>Aset Biologis - Jagung</t>
        </is>
      </c>
      <c r="C25" s="4" t="inlineStr">
        <is>
          <t>Aset</t>
        </is>
      </c>
      <c r="D25" s="4" t="inlineStr">
        <is>
          <t>Debit</t>
        </is>
      </c>
    </row>
    <row r="26">
      <c r="A26" s="27" t="inlineStr">
        <is>
          <t>1.4.01.01</t>
        </is>
      </c>
      <c r="B26" s="28" t="inlineStr">
        <is>
          <t>Software</t>
        </is>
      </c>
      <c r="C26" s="15" t="inlineStr">
        <is>
          <t>Aset</t>
        </is>
      </c>
      <c r="D26" s="15" t="inlineStr">
        <is>
          <t>Debit</t>
        </is>
      </c>
    </row>
    <row r="27">
      <c r="A27" s="29" t="inlineStr">
        <is>
          <t>2.1.01.01</t>
        </is>
      </c>
      <c r="B27" s="30" t="inlineStr">
        <is>
          <t>Utang Usaha</t>
        </is>
      </c>
      <c r="C27" s="4" t="inlineStr">
        <is>
          <t>Kewajiban</t>
        </is>
      </c>
      <c r="D27" s="4" t="inlineStr">
        <is>
          <t>Kredit</t>
        </is>
      </c>
    </row>
    <row r="28">
      <c r="A28" s="27" t="inlineStr">
        <is>
          <t>2.1.03.01</t>
        </is>
      </c>
      <c r="B28" s="28" t="inlineStr">
        <is>
          <t>Utang Gaji dan Upah</t>
        </is>
      </c>
      <c r="C28" s="15" t="inlineStr">
        <is>
          <t>Kewajiban</t>
        </is>
      </c>
      <c r="D28" s="15" t="inlineStr">
        <is>
          <t>Kredit</t>
        </is>
      </c>
    </row>
    <row r="29">
      <c r="A29" s="29" t="inlineStr">
        <is>
          <t>2.1.04.01</t>
        </is>
      </c>
      <c r="B29" s="30" t="inlineStr">
        <is>
          <t>Utang Listrik</t>
        </is>
      </c>
      <c r="C29" s="4" t="inlineStr">
        <is>
          <t>Kewajiban</t>
        </is>
      </c>
      <c r="D29" s="4" t="inlineStr">
        <is>
          <t>Kredit</t>
        </is>
      </c>
    </row>
    <row r="30">
      <c r="A30" s="27" t="inlineStr">
        <is>
          <t>2.1.05.01</t>
        </is>
      </c>
      <c r="B30" s="28" t="inlineStr">
        <is>
          <t>Utang Pihak Ketiga Jangka Pendek</t>
        </is>
      </c>
      <c r="C30" s="15" t="inlineStr">
        <is>
          <t>Kewajiban</t>
        </is>
      </c>
      <c r="D30" s="15" t="inlineStr">
        <is>
          <t>Kredit</t>
        </is>
      </c>
    </row>
    <row r="31">
      <c r="A31" s="29" t="inlineStr">
        <is>
          <t>2.2.01.01</t>
        </is>
      </c>
      <c r="B31" s="30" t="inlineStr">
        <is>
          <t>Utang Bank</t>
        </is>
      </c>
      <c r="C31" s="4" t="inlineStr">
        <is>
          <t>Kewajiban</t>
        </is>
      </c>
      <c r="D31" s="4" t="inlineStr">
        <is>
          <t>Kredit</t>
        </is>
      </c>
    </row>
    <row r="32">
      <c r="A32" s="27" t="inlineStr">
        <is>
          <t>3.1.01.01</t>
        </is>
      </c>
      <c r="B32" s="28" t="inlineStr">
        <is>
          <t>Penyertaan Modal Desa</t>
        </is>
      </c>
      <c r="C32" s="15" t="inlineStr">
        <is>
          <t>Ekuitas</t>
        </is>
      </c>
      <c r="D32" s="15" t="inlineStr">
        <is>
          <t>Kredit</t>
        </is>
      </c>
    </row>
    <row r="33">
      <c r="A33" s="29" t="inlineStr">
        <is>
          <t>3.1.02.01</t>
        </is>
      </c>
      <c r="B33" s="30" t="inlineStr">
        <is>
          <t>Penyertaan Modal Masyarakat A</t>
        </is>
      </c>
      <c r="C33" s="4" t="inlineStr">
        <is>
          <t>Ekuitas</t>
        </is>
      </c>
      <c r="D33" s="4" t="inlineStr">
        <is>
          <t>Kredit</t>
        </is>
      </c>
    </row>
    <row r="34">
      <c r="A34" s="27" t="inlineStr">
        <is>
          <t>3.1.02.02</t>
        </is>
      </c>
      <c r="B34" s="28" t="inlineStr">
        <is>
          <t>Penyertaan Modal Masyarakat B</t>
        </is>
      </c>
      <c r="C34" s="15" t="inlineStr">
        <is>
          <t>Ekuitas</t>
        </is>
      </c>
      <c r="D34" s="15" t="inlineStr">
        <is>
          <t>Kredit</t>
        </is>
      </c>
    </row>
    <row r="35">
      <c r="A35" s="29" t="inlineStr">
        <is>
          <t>3.3.01.04</t>
        </is>
      </c>
      <c r="B35" s="30" t="inlineStr">
        <is>
          <t>Saldo Awal</t>
        </is>
      </c>
      <c r="C35" s="4" t="inlineStr">
        <is>
          <t>Ekuitas</t>
        </is>
      </c>
      <c r="D35" s="4" t="inlineStr">
        <is>
          <t>Kredit</t>
        </is>
      </c>
    </row>
    <row r="36">
      <c r="A36" s="27" t="inlineStr">
        <is>
          <t>3.4.01.01</t>
        </is>
      </c>
      <c r="B36" s="28" t="inlineStr">
        <is>
          <t>Modal Donasi dan Sumbangan</t>
        </is>
      </c>
      <c r="C36" s="15" t="inlineStr">
        <is>
          <t>Ekuitas</t>
        </is>
      </c>
      <c r="D36" s="15" t="inlineStr">
        <is>
          <t>Kredit</t>
        </is>
      </c>
    </row>
    <row r="37">
      <c r="A37" s="29" t="inlineStr">
        <is>
          <t>4.1.02.01</t>
        </is>
      </c>
      <c r="B37" s="30" t="inlineStr">
        <is>
          <t>Pendapatan Pengelolaan Air Bersih</t>
        </is>
      </c>
      <c r="C37" s="4" t="inlineStr">
        <is>
          <t>Pendapatan</t>
        </is>
      </c>
      <c r="D37" s="4" t="inlineStr">
        <is>
          <t>Kredit</t>
        </is>
      </c>
    </row>
    <row r="38">
      <c r="A38" s="27" t="inlineStr">
        <is>
          <t>4.1.03.01</t>
        </is>
      </c>
      <c r="B38" s="28" t="inlineStr">
        <is>
          <t>Pendapatan Pengelolaan Sampah</t>
        </is>
      </c>
      <c r="C38" s="15" t="inlineStr">
        <is>
          <t>Pendapatan</t>
        </is>
      </c>
      <c r="D38" s="15" t="inlineStr">
        <is>
          <t>Kredit</t>
        </is>
      </c>
    </row>
    <row r="39">
      <c r="A39" s="29" t="inlineStr">
        <is>
          <t>4.1.04.02</t>
        </is>
      </c>
      <c r="B39" s="30" t="inlineStr">
        <is>
          <t>Pendapatan Sewa Toko dan Kios</t>
        </is>
      </c>
      <c r="C39" s="4" t="inlineStr">
        <is>
          <t>Pendapatan</t>
        </is>
      </c>
      <c r="D39" s="4" t="inlineStr">
        <is>
          <t>Kredit</t>
        </is>
      </c>
    </row>
    <row r="40">
      <c r="A40" s="27" t="inlineStr">
        <is>
          <t>4.1.04.03</t>
        </is>
      </c>
      <c r="B40" s="28" t="inlineStr">
        <is>
          <t>Pendapatan Sewa Gedung</t>
        </is>
      </c>
      <c r="C40" s="15" t="inlineStr">
        <is>
          <t>Pendapatan</t>
        </is>
      </c>
      <c r="D40" s="15" t="inlineStr">
        <is>
          <t>Kredit</t>
        </is>
      </c>
    </row>
    <row r="41">
      <c r="A41" s="29" t="inlineStr">
        <is>
          <t>4.1.04.06</t>
        </is>
      </c>
      <c r="B41" s="30" t="inlineStr">
        <is>
          <t>Pendapatan Sewa Jaring</t>
        </is>
      </c>
      <c r="C41" s="4" t="inlineStr">
        <is>
          <t>Pendapatan</t>
        </is>
      </c>
      <c r="D41" s="4" t="inlineStr">
        <is>
          <t>Kredit</t>
        </is>
      </c>
    </row>
    <row r="42">
      <c r="A42" s="27" t="inlineStr">
        <is>
          <t>4.1.05.01</t>
        </is>
      </c>
      <c r="B42" s="28" t="inlineStr">
        <is>
          <t>Pendapatan Jasa Bayar Listrik</t>
        </is>
      </c>
      <c r="C42" s="15" t="inlineStr">
        <is>
          <t>Pendapatan</t>
        </is>
      </c>
      <c r="D42" s="15" t="inlineStr">
        <is>
          <t>Kredit</t>
        </is>
      </c>
    </row>
    <row r="43">
      <c r="A43" s="29" t="inlineStr">
        <is>
          <t>4.1.05.03</t>
        </is>
      </c>
      <c r="B43" s="30" t="inlineStr">
        <is>
          <t>Pendapatan Jasa Bayar BPJS</t>
        </is>
      </c>
      <c r="C43" s="4" t="inlineStr">
        <is>
          <t>Pendapatan</t>
        </is>
      </c>
      <c r="D43" s="4" t="inlineStr">
        <is>
          <t>Kredit</t>
        </is>
      </c>
    </row>
    <row r="44">
      <c r="A44" s="27" t="inlineStr">
        <is>
          <t>4.1.08.01</t>
        </is>
      </c>
      <c r="B44" s="28" t="inlineStr">
        <is>
          <t>Pendapatan Simpan Pinjam</t>
        </is>
      </c>
      <c r="C44" s="15" t="inlineStr">
        <is>
          <t>Pendapatan</t>
        </is>
      </c>
      <c r="D44" s="15" t="inlineStr">
        <is>
          <t>Kredit</t>
        </is>
      </c>
    </row>
    <row r="45">
      <c r="A45" s="29" t="inlineStr">
        <is>
          <t>4.1.11.01</t>
        </is>
      </c>
      <c r="B45" s="30" t="inlineStr">
        <is>
          <t>Pendapatan Komisi</t>
        </is>
      </c>
      <c r="C45" s="4" t="inlineStr">
        <is>
          <t>Pendapatan</t>
        </is>
      </c>
      <c r="D45" s="4" t="inlineStr">
        <is>
          <t>Kredit</t>
        </is>
      </c>
    </row>
    <row r="46">
      <c r="A46" s="27" t="inlineStr">
        <is>
          <t>4.1.12.01</t>
        </is>
      </c>
      <c r="B46" s="28" t="inlineStr">
        <is>
          <t>Pendapatan Penjualan Jagung</t>
        </is>
      </c>
      <c r="C46" s="15" t="inlineStr">
        <is>
          <t>Pendapatan</t>
        </is>
      </c>
      <c r="D46" s="15" t="inlineStr">
        <is>
          <t>Kredit</t>
        </is>
      </c>
    </row>
    <row r="47">
      <c r="A47" s="29" t="inlineStr">
        <is>
          <t>4.1.12.02</t>
        </is>
      </c>
      <c r="B47" s="30" t="inlineStr">
        <is>
          <t>Pendapatan Penjualan Padi</t>
        </is>
      </c>
      <c r="C47" s="4" t="inlineStr">
        <is>
          <t>Pendapatan</t>
        </is>
      </c>
      <c r="D47" s="4" t="inlineStr">
        <is>
          <t>Kredit</t>
        </is>
      </c>
    </row>
    <row r="48">
      <c r="A48" s="27" t="inlineStr">
        <is>
          <t>4.1.13.05</t>
        </is>
      </c>
      <c r="B48" s="28" t="inlineStr">
        <is>
          <t>Pendapatan Penjualan Telur Ayam</t>
        </is>
      </c>
      <c r="C48" s="15" t="inlineStr">
        <is>
          <t>Pendapatan</t>
        </is>
      </c>
      <c r="D48" s="15" t="inlineStr">
        <is>
          <t>Kredit</t>
        </is>
      </c>
    </row>
    <row r="49">
      <c r="A49" s="29" t="inlineStr">
        <is>
          <t>4.1.14.01</t>
        </is>
      </c>
      <c r="B49" s="30" t="inlineStr">
        <is>
          <t>Pendapatan Penjualan Lele</t>
        </is>
      </c>
      <c r="C49" s="4" t="inlineStr">
        <is>
          <t>Pendapatan</t>
        </is>
      </c>
      <c r="D49" s="4" t="inlineStr">
        <is>
          <t>Kredit</t>
        </is>
      </c>
    </row>
    <row r="50">
      <c r="A50" s="27" t="inlineStr">
        <is>
          <t>6.1.02.01</t>
        </is>
      </c>
      <c r="B50" s="28" t="inlineStr">
        <is>
          <t>Beban Alat Tulis Kantor (ATK)</t>
        </is>
      </c>
      <c r="C50" s="15" t="inlineStr">
        <is>
          <t>Beban</t>
        </is>
      </c>
      <c r="D50" s="15" t="inlineStr">
        <is>
          <t>Debit</t>
        </is>
      </c>
    </row>
    <row r="51">
      <c r="A51" s="29" t="inlineStr">
        <is>
          <t>6.1.02.02</t>
        </is>
      </c>
      <c r="B51" s="30" t="inlineStr">
        <is>
          <t>Beban Foto Copy</t>
        </is>
      </c>
      <c r="C51" s="4" t="inlineStr">
        <is>
          <t>Beban</t>
        </is>
      </c>
      <c r="D51" s="4" t="inlineStr">
        <is>
          <t>Debit</t>
        </is>
      </c>
    </row>
    <row r="52">
      <c r="A52" s="27" t="inlineStr">
        <is>
          <t>6.1.02.03</t>
        </is>
      </c>
      <c r="B52" s="28" t="inlineStr">
        <is>
          <t>Beban Konsumsi Rapat</t>
        </is>
      </c>
      <c r="C52" s="15" t="inlineStr">
        <is>
          <t>Beban</t>
        </is>
      </c>
      <c r="D52" s="15" t="inlineStr">
        <is>
          <t>Debit</t>
        </is>
      </c>
    </row>
    <row r="53">
      <c r="A53" s="29" t="inlineStr">
        <is>
          <t>6.1.04.01</t>
        </is>
      </c>
      <c r="B53" s="30" t="inlineStr">
        <is>
          <t>Beban Listrik</t>
        </is>
      </c>
      <c r="C53" s="4" t="inlineStr">
        <is>
          <t>Beban</t>
        </is>
      </c>
      <c r="D53" s="4" t="inlineStr">
        <is>
          <t>Debit</t>
        </is>
      </c>
    </row>
    <row r="54">
      <c r="A54" s="27" t="inlineStr">
        <is>
          <t>6.1.04.02</t>
        </is>
      </c>
      <c r="B54" s="28" t="inlineStr">
        <is>
          <t>Beban Telepon/Internet</t>
        </is>
      </c>
      <c r="C54" s="15" t="inlineStr">
        <is>
          <t>Beban</t>
        </is>
      </c>
      <c r="D54" s="15" t="inlineStr">
        <is>
          <t>Debit</t>
        </is>
      </c>
    </row>
    <row r="55">
      <c r="A55" s="29" t="inlineStr">
        <is>
          <t>6.1.07.02</t>
        </is>
      </c>
      <c r="B55" s="30" t="inlineStr">
        <is>
          <t>Beban Penyusutan Kendaraan</t>
        </is>
      </c>
      <c r="C55" s="4" t="inlineStr">
        <is>
          <t>Beban</t>
        </is>
      </c>
      <c r="D55" s="4" t="inlineStr">
        <is>
          <t>Debit</t>
        </is>
      </c>
    </row>
    <row r="56">
      <c r="A56" s="27" t="inlineStr">
        <is>
          <t>6.1.07.03</t>
        </is>
      </c>
      <c r="B56" s="28" t="inlineStr">
        <is>
          <t>Beban Penyusutan Peralatan dan Mesin</t>
        </is>
      </c>
      <c r="C56" s="15" t="inlineStr">
        <is>
          <t>Beban</t>
        </is>
      </c>
      <c r="D56" s="15" t="inlineStr">
        <is>
          <t>Debit</t>
        </is>
      </c>
    </row>
    <row r="57">
      <c r="A57" s="29" t="inlineStr">
        <is>
          <t>6.1.07.04</t>
        </is>
      </c>
      <c r="B57" s="30" t="inlineStr">
        <is>
          <t>Beban Penyusutan Meubelair</t>
        </is>
      </c>
      <c r="C57" s="4" t="inlineStr">
        <is>
          <t>Beban</t>
        </is>
      </c>
      <c r="D57" s="4" t="inlineStr">
        <is>
          <t>Debit</t>
        </is>
      </c>
    </row>
    <row r="58">
      <c r="A58" s="27" t="inlineStr">
        <is>
          <t>6.1.07.05</t>
        </is>
      </c>
      <c r="B58" s="28" t="inlineStr">
        <is>
          <t>Beban Penyusutan Gedung dan Bangunan</t>
        </is>
      </c>
      <c r="C58" s="15" t="inlineStr">
        <is>
          <t>Beban</t>
        </is>
      </c>
      <c r="D58" s="15" t="inlineStr">
        <is>
          <t>Debit</t>
        </is>
      </c>
    </row>
    <row r="59">
      <c r="A59" s="29" t="inlineStr">
        <is>
          <t>6.1.99.03</t>
        </is>
      </c>
      <c r="B59" s="30" t="inlineStr">
        <is>
          <t>Beban Perjalanan Dinas</t>
        </is>
      </c>
      <c r="C59" s="4" t="inlineStr">
        <is>
          <t>Beban</t>
        </is>
      </c>
      <c r="D59" s="4" t="inlineStr">
        <is>
          <t>Debit</t>
        </is>
      </c>
    </row>
    <row r="60">
      <c r="A60" s="27" t="inlineStr">
        <is>
          <t>6.1.99.05</t>
        </is>
      </c>
      <c r="B60" s="28" t="inlineStr">
        <is>
          <t>Beban Jamuan Tamu</t>
        </is>
      </c>
      <c r="C60" s="15" t="inlineStr">
        <is>
          <t>Beban</t>
        </is>
      </c>
      <c r="D60" s="15" t="inlineStr">
        <is>
          <t>Debit</t>
        </is>
      </c>
    </row>
    <row r="61">
      <c r="A61" s="29" t="inlineStr">
        <is>
          <t>6.2.01.03</t>
        </is>
      </c>
      <c r="B61" s="30" t="inlineStr">
        <is>
          <t>Beban Gaji Penasihat</t>
        </is>
      </c>
      <c r="C61" s="4" t="inlineStr">
        <is>
          <t>Beban</t>
        </is>
      </c>
      <c r="D61" s="4" t="inlineStr">
        <is>
          <t>Debit</t>
        </is>
      </c>
    </row>
    <row r="62">
      <c r="A62" s="27" t="inlineStr">
        <is>
          <t>6.2.01.04</t>
        </is>
      </c>
      <c r="B62" s="28" t="inlineStr">
        <is>
          <t>Beban Gaji Pengawas</t>
        </is>
      </c>
      <c r="C62" s="15" t="inlineStr">
        <is>
          <t>Beban</t>
        </is>
      </c>
      <c r="D62" s="15" t="inlineStr">
        <is>
          <t>Debit</t>
        </is>
      </c>
    </row>
    <row r="63">
      <c r="A63" s="29" t="inlineStr">
        <is>
          <t>6.2.01.05</t>
        </is>
      </c>
      <c r="B63" s="30" t="inlineStr">
        <is>
          <t>Beban Gaji Direktur</t>
        </is>
      </c>
      <c r="C63" s="4" t="inlineStr">
        <is>
          <t>Beban</t>
        </is>
      </c>
      <c r="D63" s="4" t="inlineStr">
        <is>
          <t>Debit</t>
        </is>
      </c>
    </row>
    <row r="64">
      <c r="A64" s="27" t="inlineStr">
        <is>
          <t>6.2.01.07</t>
        </is>
      </c>
      <c r="B64" s="28" t="inlineStr">
        <is>
          <t>Beban Gaji Bendahara</t>
        </is>
      </c>
      <c r="C64" s="15" t="inlineStr">
        <is>
          <t>Beban</t>
        </is>
      </c>
      <c r="D64" s="15" t="inlineStr">
        <is>
          <t>Debit</t>
        </is>
      </c>
    </row>
    <row r="65">
      <c r="A65" s="29" t="inlineStr">
        <is>
          <t>6.2.02.02</t>
        </is>
      </c>
      <c r="B65" s="30" t="inlineStr">
        <is>
          <t>Beban Perbaikan dan Renovasi</t>
        </is>
      </c>
      <c r="C65" s="4" t="inlineStr">
        <is>
          <t>Beban</t>
        </is>
      </c>
      <c r="D65" s="4" t="inlineStr">
        <is>
          <t>Debit</t>
        </is>
      </c>
    </row>
    <row r="66">
      <c r="A66" s="27" t="inlineStr">
        <is>
          <t>6.2.99.02</t>
        </is>
      </c>
      <c r="B66" s="28" t="inlineStr">
        <is>
          <t>Beban Sewa Lokasi</t>
        </is>
      </c>
      <c r="C66" s="15" t="inlineStr">
        <is>
          <t>Beban</t>
        </is>
      </c>
      <c r="D66" s="15" t="inlineStr">
        <is>
          <t>Debit</t>
        </is>
      </c>
    </row>
    <row r="67">
      <c r="A67" s="29" t="inlineStr">
        <is>
          <t>6.2.99.04</t>
        </is>
      </c>
      <c r="B67" s="30" t="inlineStr">
        <is>
          <t>Beban Pakan Ternak</t>
        </is>
      </c>
      <c r="C67" s="4" t="inlineStr">
        <is>
          <t>Beban</t>
        </is>
      </c>
      <c r="D67" s="4" t="inlineStr">
        <is>
          <t>Debit</t>
        </is>
      </c>
    </row>
    <row r="68">
      <c r="A68" s="27" t="inlineStr">
        <is>
          <t>6.2.99.05</t>
        </is>
      </c>
      <c r="B68" s="28" t="inlineStr">
        <is>
          <t>Beban Pupuk dan Obat-obatan</t>
        </is>
      </c>
      <c r="C68" s="15" t="inlineStr">
        <is>
          <t>Beban</t>
        </is>
      </c>
      <c r="D68" s="15" t="inlineStr">
        <is>
          <t>Debit</t>
        </is>
      </c>
    </row>
    <row r="69">
      <c r="A69" s="29" t="inlineStr">
        <is>
          <t>6.2.99.06</t>
        </is>
      </c>
      <c r="B69" s="30" t="inlineStr">
        <is>
          <t>Beban Peralatan dan Mesin</t>
        </is>
      </c>
      <c r="C69" s="4" t="inlineStr">
        <is>
          <t>Beban</t>
        </is>
      </c>
      <c r="D69" s="4" t="inlineStr">
        <is>
          <t>Debit</t>
        </is>
      </c>
    </row>
    <row r="70">
      <c r="A70" s="27" t="inlineStr">
        <is>
          <t>6.2.99.07</t>
        </is>
      </c>
      <c r="B70" s="28" t="inlineStr">
        <is>
          <t>Beban Vaksinasi dan Obat</t>
        </is>
      </c>
      <c r="C70" s="15" t="inlineStr">
        <is>
          <t>Beban</t>
        </is>
      </c>
      <c r="D70" s="15" t="inlineStr">
        <is>
          <t>Debit</t>
        </is>
      </c>
    </row>
    <row r="71">
      <c r="A71" s="29" t="inlineStr">
        <is>
          <t>6.2.99.99</t>
        </is>
      </c>
      <c r="B71" s="30" t="inlineStr">
        <is>
          <t>Beban Operasional Lainnya</t>
        </is>
      </c>
      <c r="C71" s="4" t="inlineStr">
        <is>
          <t>Beban</t>
        </is>
      </c>
      <c r="D71" s="4" t="inlineStr">
        <is>
          <t>Debit</t>
        </is>
      </c>
    </row>
    <row r="72">
      <c r="A72" s="27" t="inlineStr">
        <is>
          <t>7.2.01.01</t>
        </is>
      </c>
      <c r="B72" s="28" t="inlineStr">
        <is>
          <t>Beban Administrasi Bank</t>
        </is>
      </c>
      <c r="C72" s="15" t="inlineStr">
        <is>
          <t>Beban</t>
        </is>
      </c>
      <c r="D72" s="15" t="inlineStr">
        <is>
          <t>Debit</t>
        </is>
      </c>
    </row>
    <row r="73">
      <c r="A73" s="29" t="inlineStr">
        <is>
          <t>7.3.01.03</t>
        </is>
      </c>
      <c r="B73" s="30" t="inlineStr">
        <is>
          <t>Beban Pajak Daerah</t>
        </is>
      </c>
      <c r="C73" s="4" t="inlineStr">
        <is>
          <t>Beban</t>
        </is>
      </c>
      <c r="D73" s="4" t="inlineStr">
        <is>
          <t>Debit</t>
        </is>
      </c>
    </row>
    <row r="78">
      <c r="B78" s="10" t="inlineStr">
        <is>
          <t>Gunakan akun yang tersedia. Untuk akun baru permanen, tambahkan tuple ke COA di generate_template.py lalu jalankan ulang agar semua laporan mendapat barisnya.</t>
        </is>
      </c>
    </row>
  </sheetData>
  <autoFilter ref="A1:D73"/>
  <mergeCells count="1">
    <mergeCell ref="B78:D78"/>
  </mergeCells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2:B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5" customWidth="1" min="2" max="2"/>
  </cols>
  <sheetData>
    <row r="2">
      <c r="B2" s="11" t="inlineStr">
        <is>
          <t>PETUNJUK PENGGUNAAN TEMPLATE</t>
        </is>
      </c>
    </row>
    <row r="4">
      <c r="B4" s="30" t="inlineStr">
        <is>
          <t>1. Mulai dari PENGATURAN. Pastikan identitas, daftar unit, Bulan aktif, dan Tahun aktif sudah benar.</t>
        </is>
      </c>
    </row>
    <row r="5">
      <c r="B5" s="30" t="inlineStr">
        <is>
          <t>2. Input jurnal di TRANSAKSI. Isi tanggal, unit usaha, jenis, kode akun, uraian, serta hanya angka Debet atau Kredit pada setiap baris.</t>
        </is>
      </c>
    </row>
    <row r="6">
      <c r="B6" s="30" t="inlineStr">
        <is>
          <t>3. Satu transaksi dapat terdiri dari beberapa baris. Gunakan uraian yang konsisten, tetapi laporan tidak bergantung pada uraian: agregasi menggunakan Kode Akun dan tanggal.</t>
        </is>
      </c>
    </row>
    <row r="7">
      <c r="B7" s="30" t="inlineStr">
        <is>
          <t>4. Baris contoh September 2025 diberi awalan [CONTOH]. Hapus atau ganti baris tersebut sebelum dipakai sebagai laporan resmi.</t>
        </is>
      </c>
    </row>
    <row r="8">
      <c r="B8" s="30" t="inlineStr">
        <is>
          <t>5. Pastikan kontrol 'Jurnal Debet = Kredit' dan 'CHECK BALANCE' di PENGATURAN berstatus OK. Jika tidak, cari baris jurnal yang belum berpasangan.</t>
        </is>
      </c>
    </row>
    <row r="9">
      <c r="B9" s="30" t="inlineStr">
        <is>
          <t>6. Lihat BULANAN untuk tren Jan–Des, LABA RUGI untuk bulan aktif dan kumulatif, ARUS KAS untuk pergerakan rekening kas, serta NERACA SALDO dan POSISI KEUANGAN untuk pemeriksaan posisi.</t>
        </is>
      </c>
    </row>
    <row r="10">
      <c r="B10" s="30" t="inlineStr">
        <is>
          <t>7. Gunakan akun yang sudah tersedia di AKUN. Untuk akun baru permanen, tambahkan tuple akun ke COA di generate_template.py lalu jalankan ulang agar baris akun muncul di semua laporan; menambah baris AKUN saja tidak cukup.</t>
        </is>
      </c>
    </row>
    <row r="12">
      <c r="B12" s="31" t="inlineStr">
        <is>
          <t>IMPORT KE GOOGLE SHEETS</t>
        </is>
      </c>
    </row>
    <row r="13">
      <c r="B13" s="30" t="inlineStr">
        <is>
          <t>Di Google Drive pilih New &gt; File upload, unggah file XLSX ini, lalu Open with &gt; Google Sheets. Alternatifnya di spreadsheet pilih File &gt; Import &gt; Upload dan pilih Create new spreadsheet.</t>
        </is>
      </c>
    </row>
    <row r="14">
      <c r="B14" s="30" t="inlineStr">
        <is>
          <t>Setelah impor, cek locale tanggal/rupiah, data validation di TRANSAKSI, serta jalankan ulang pemeriksaan kontrol. Google Sheets akan menghitung ulang formula saat file dibuka.</t>
        </is>
      </c>
    </row>
    <row r="16">
      <c r="B16" s="31" t="inlineStr">
        <is>
          <t>CATATAN DESAIN</t>
        </is>
      </c>
    </row>
    <row r="17">
      <c r="B17" s="30" t="inlineStr">
        <is>
          <t>Template ini memakai satu tabel transaksi sepanjang tahun dan laporan berbasis SUMIFS dengan Kode Akun + periode. Hindari memindahkan/menyisipkan kolom di TRANSAKSI karena formula dan validasi mengikuti struktur tersebut.</t>
        </is>
      </c>
    </row>
  </sheetData>
  <mergeCells count="1">
    <mergeCell ref="B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2026-08-23T07:14:43Z</dcterms:created>
  <dcterms:modified xmlns:dcterms="http://purl.org/dc/terms/" xmlns:xsi="http://www.w3.org/2001/XMLSchema-instance" xsi:type="dcterms:W3CDTF">2026-08-23T07:14:44Z</dcterms:modified>
</cp:coreProperties>
</file>